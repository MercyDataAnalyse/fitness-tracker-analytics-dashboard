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MY EXCEL\EXCEL REPLICATE\"/>
    </mc:Choice>
  </mc:AlternateContent>
  <xr:revisionPtr revIDLastSave="0" documentId="13_ncr:1_{930BF2FE-888B-4E49-9749-458D79BB0551}" xr6:coauthVersionLast="47" xr6:coauthVersionMax="47" xr10:uidLastSave="{00000000-0000-0000-0000-000000000000}"/>
  <bookViews>
    <workbookView xWindow="-108" yWindow="-108" windowWidth="23256" windowHeight="12456" activeTab="1" xr2:uid="{45041367-AE06-4746-9144-51562DA3AAD9}"/>
  </bookViews>
  <sheets>
    <sheet name="DATA" sheetId="1" r:id="rId1"/>
    <sheet name="ANALYSIS" sheetId="2" r:id="rId2"/>
    <sheet name="DASHBOARD" sheetId="4" r:id="rId3"/>
  </sheets>
  <definedNames>
    <definedName name="_xlcn.WorksheetConnection_fitness_tracker_data.csv.xlsxTable11" hidden="1">Table1[]</definedName>
    <definedName name="Timeline_Date">#N/A</definedName>
  </definedNames>
  <calcPr calcId="191029"/>
  <pivotCaches>
    <pivotCache cacheId="127" r:id="rId4"/>
    <pivotCache cacheId="131" r:id="rId5"/>
    <pivotCache cacheId="134" r:id="rId6"/>
    <pivotCache cacheId="137" r:id="rId7"/>
    <pivotCache cacheId="140" r:id="rId8"/>
    <pivotCache cacheId="143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30" r:id="rId10"/>
      </x15:timelineCachePivotCaches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FCE2AD5D-F65C-4FA6-A056-5C36A1767C68}">
      <x15:dataModel>
        <x15:modelTables>
          <x15:modelTable id="Table1" name="Table1" connection="WorksheetConnection_fitness_tracker_data.csv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L13" i="2" l="1"/>
  <c r="B5" i="2"/>
  <c r="C5" i="2"/>
  <c r="D48" i="2"/>
  <c r="D49" i="2"/>
  <c r="D50" i="2"/>
  <c r="D51" i="2"/>
  <c r="D52" i="2"/>
  <c r="D53" i="2"/>
  <c r="D47" i="2"/>
  <c r="A9" i="2"/>
  <c r="A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03F86A-3F56-43FF-B5E7-E8DFBBC076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AD042C-1F19-4479-834D-01C650AB31D8}" name="WorksheetConnection_fitness_tracker_data.csv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itness_tracker_data.csv.xlsxTable11"/>
        </x15:connection>
      </ext>
    </extLst>
  </connection>
</connections>
</file>

<file path=xl/sharedStrings.xml><?xml version="1.0" encoding="utf-8"?>
<sst xmlns="http://schemas.openxmlformats.org/spreadsheetml/2006/main" count="1596" uniqueCount="99">
  <si>
    <t>Date</t>
  </si>
  <si>
    <t>Day_of_Week</t>
  </si>
  <si>
    <t>Day num</t>
  </si>
  <si>
    <t>Exercise_Type</t>
  </si>
  <si>
    <t>Specific_Exercise</t>
  </si>
  <si>
    <t>Duration_mins</t>
  </si>
  <si>
    <t>Calories_Burned</t>
  </si>
  <si>
    <t>Actual_Weight_kg</t>
  </si>
  <si>
    <t>Expected_Weight_kg</t>
  </si>
  <si>
    <t>Heart_Rate_bpm</t>
  </si>
  <si>
    <t>Steps</t>
  </si>
  <si>
    <t>Sleep_hours</t>
  </si>
  <si>
    <t>Intensity</t>
  </si>
  <si>
    <t>Notes</t>
  </si>
  <si>
    <t>Travel_Week</t>
  </si>
  <si>
    <t>Illness</t>
  </si>
  <si>
    <t>Monday</t>
  </si>
  <si>
    <t>Cardio</t>
  </si>
  <si>
    <t>Jump Rope</t>
  </si>
  <si>
    <t>Medium</t>
  </si>
  <si>
    <t>Intervals</t>
  </si>
  <si>
    <t>Swimming</t>
  </si>
  <si>
    <t>High</t>
  </si>
  <si>
    <t>Hot weather</t>
  </si>
  <si>
    <t>Evening run</t>
  </si>
  <si>
    <t>Running</t>
  </si>
  <si>
    <t>Felt strong</t>
  </si>
  <si>
    <t>Rest</t>
  </si>
  <si>
    <t>Rest Day</t>
  </si>
  <si>
    <t>Low</t>
  </si>
  <si>
    <t>Felt tired</t>
  </si>
  <si>
    <t>Good pace</t>
  </si>
  <si>
    <t>Cycling</t>
  </si>
  <si>
    <t>Steady run</t>
  </si>
  <si>
    <t>Recovery day</t>
  </si>
  <si>
    <t>Outdoor session</t>
  </si>
  <si>
    <t>Flexibility</t>
  </si>
  <si>
    <t>Yoga</t>
  </si>
  <si>
    <t>Morning yoga</t>
  </si>
  <si>
    <t>Tuesday</t>
  </si>
  <si>
    <t>Strength</t>
  </si>
  <si>
    <t>Bodyweight</t>
  </si>
  <si>
    <t>Leg day</t>
  </si>
  <si>
    <t>Weightlifting</t>
  </si>
  <si>
    <t>Progressive overload</t>
  </si>
  <si>
    <t>Heavy lifts</t>
  </si>
  <si>
    <t>Core focus</t>
  </si>
  <si>
    <t>Active rest</t>
  </si>
  <si>
    <t>Good form</t>
  </si>
  <si>
    <t>Sports</t>
  </si>
  <si>
    <t>Soccer</t>
  </si>
  <si>
    <t>Weekend scrimmage</t>
  </si>
  <si>
    <t>Basketball</t>
  </si>
  <si>
    <t>Intense match</t>
  </si>
  <si>
    <t>Wednesday</t>
  </si>
  <si>
    <t>Thursday</t>
  </si>
  <si>
    <t>Stretching</t>
  </si>
  <si>
    <t>Recovery session</t>
  </si>
  <si>
    <t>Mobility work</t>
  </si>
  <si>
    <t>Friday</t>
  </si>
  <si>
    <t>Pickup game</t>
  </si>
  <si>
    <t>Saturday</t>
  </si>
  <si>
    <t>Upper body</t>
  </si>
  <si>
    <t>Sunday</t>
  </si>
  <si>
    <t>KPIs</t>
  </si>
  <si>
    <t>Average of Duration_mins</t>
  </si>
  <si>
    <t>Average of Calories_Burned</t>
  </si>
  <si>
    <t>Average of Steps</t>
  </si>
  <si>
    <t>Average of Sleep_hours</t>
  </si>
  <si>
    <t>Current weight</t>
  </si>
  <si>
    <t>Weight Target</t>
  </si>
  <si>
    <t>Target weight</t>
  </si>
  <si>
    <t>Initial weight</t>
  </si>
  <si>
    <t>Avg weight lost per month</t>
  </si>
  <si>
    <t>Total workouts this month</t>
  </si>
  <si>
    <t xml:space="preserve">Total weight lost </t>
  </si>
  <si>
    <t>Total calories this month</t>
  </si>
  <si>
    <t>Total time this month hours</t>
  </si>
  <si>
    <t>Active days this month</t>
  </si>
  <si>
    <t>Most common intensity</t>
  </si>
  <si>
    <t>Goal completion percent</t>
  </si>
  <si>
    <t>Weight lost this month</t>
  </si>
  <si>
    <t xml:space="preserve">Quick message 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</si>
  <si>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</si>
  <si>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</si>
  <si>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</si>
  <si>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</si>
  <si>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</si>
  <si>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</si>
  <si>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</si>
  <si>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</si>
  <si>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</si>
  <si>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</si>
  <si>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</si>
  <si>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Weight Lost Trend</t>
  </si>
  <si>
    <t>Avg Calories Burnt</t>
  </si>
  <si>
    <t>Avg Duration mins</t>
  </si>
  <si>
    <t>Avg Heart Rate</t>
  </si>
  <si>
    <t>Hurray!! You lost -3.7 kg this month! Just 19.6 kg to go! 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</si>
</sst>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  <xf numFmtId="0" fontId="0" fillId="34" borderId="0" xfId="0" applyFill="1"/>
    <xf numFmtId="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2" formatCode="0.00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2" formatCode="0.00"/>
    </dxf>
    <dxf>
      <numFmt numFmtId="13" formatCode="0%"/>
    </dxf>
    <dxf>
      <fill>
        <patternFill patternType="solid">
          <bgColor theme="4" tint="0.39997558519241921"/>
        </patternFill>
      </fill>
    </dxf>
    <dxf>
      <numFmt numFmtId="2" formatCode="0.00"/>
    </dxf>
    <dxf>
      <fill>
        <patternFill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numFmt numFmtId="2" formatCode="0.00"/>
    </dxf>
    <dxf>
      <numFmt numFmtId="1" formatCode="0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left"/>
    </dxf>
    <dxf>
      <alignment horizontal="center"/>
    </dxf>
    <dxf>
      <numFmt numFmtId="2" formatCode="0.00"/>
    </dxf>
    <dxf>
      <numFmt numFmtId="2" formatCode="0.00"/>
    </dxf>
    <dxf>
      <numFmt numFmtId="19" formatCode="m/d/yyyy"/>
    </dxf>
    <dxf>
      <font>
        <sz val="11"/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FF6D8738-189E-4453-B7B7-2C6E9AE68FAD}"/>
    <tableStyle name="TimeSlicerStyleLight1 2" pivot="0" table="0" count="9" xr9:uid="{A6F83D83-A451-47BC-8888-73F3D3CA75C6}">
      <tableStyleElement type="wholeTable" dxfId="21"/>
      <tableStyleElement type="headerRow" dxfId="20"/>
    </tableStyle>
  </tableStyles>
  <colors>
    <mruColors>
      <color rgb="FFF7F7F7"/>
      <color rgb="FF1D1E2F"/>
      <color rgb="FF000000"/>
      <color rgb="FF1103C5"/>
      <color rgb="FF1199FF"/>
      <color rgb="FF9AE6CB"/>
      <color rgb="FFF2A16A"/>
      <color rgb="FF260FB1"/>
      <color rgb="FF0070C0"/>
      <color rgb="FF0F11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patternFill patternType="none">
              <fgColor auto="1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auto="1"/>
              <bgColor rgb="FF0070C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0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11/relationships/timelineCache" Target="timelineCaches/timelineCache1.xml"/><Relationship Id="rId24" Type="http://schemas.openxmlformats.org/officeDocument/2006/relationships/customXml" Target="../customXml/item7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13.pn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3800115600861758E-2"/>
          <c:y val="8.389615672030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noFill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210914249955797E-3"/>
          <c:y val="1.6660045215055289E-3"/>
          <c:w val="0.74265328108167172"/>
          <c:h val="0.906460260189043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0000"/>
              </a:solidFill>
              <a:ln w="19050">
                <a:solidFill>
                  <a:srgbClr val="000000">
                    <a:alpha val="96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F-4EA7-992C-0C3A327BDDB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7F-4EA7-992C-0C3A327BDDBB}"/>
              </c:ext>
            </c:extLst>
          </c:dPt>
          <c:val>
            <c:numRef>
              <c:f>ANALYSIS!$B$5:$C$5</c:f>
              <c:numCache>
                <c:formatCode>0.00</c:formatCode>
                <c:ptCount val="2"/>
                <c:pt idx="0">
                  <c:v>7921.9333333333334</c:v>
                </c:pt>
                <c:pt idx="1">
                  <c:v>2078.0666666666666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7F-4EA7-992C-0C3A327BD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[DAMILOLA fitness_tracker_data.xlsx]ANALYSIS!PivotTable5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6.5662952143720449E-2"/>
          <c:w val="1"/>
          <c:h val="0.706848844014598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Current weight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ANALYSIS!$A$16:$A$25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ANALYSIS!$B$16:$B$25</c:f>
              <c:numCache>
                <c:formatCode>0.00</c:formatCode>
                <c:ptCount val="10"/>
                <c:pt idx="0">
                  <c:v>111.6</c:v>
                </c:pt>
                <c:pt idx="1">
                  <c:v>108.6</c:v>
                </c:pt>
                <c:pt idx="2">
                  <c:v>106</c:v>
                </c:pt>
                <c:pt idx="3">
                  <c:v>104.8</c:v>
                </c:pt>
                <c:pt idx="4">
                  <c:v>100.8</c:v>
                </c:pt>
                <c:pt idx="5">
                  <c:v>100.4</c:v>
                </c:pt>
                <c:pt idx="6">
                  <c:v>101</c:v>
                </c:pt>
                <c:pt idx="7">
                  <c:v>98</c:v>
                </c:pt>
                <c:pt idx="8">
                  <c:v>99.6</c:v>
                </c:pt>
                <c:pt idx="9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A-407D-89A9-ED8765E6C4FF}"/>
            </c:ext>
          </c:extLst>
        </c:ser>
        <c:ser>
          <c:idx val="1"/>
          <c:order val="1"/>
          <c:tx>
            <c:strRef>
              <c:f>ANALYSIS!$C$15</c:f>
              <c:strCache>
                <c:ptCount val="1"/>
                <c:pt idx="0">
                  <c:v>Weight Target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ANALYSIS!$A$16:$A$25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ANALYSIS!$C$16:$C$25</c:f>
              <c:numCache>
                <c:formatCode>0.00</c:formatCode>
                <c:ptCount val="10"/>
                <c:pt idx="0">
                  <c:v>107.9</c:v>
                </c:pt>
                <c:pt idx="1">
                  <c:v>103.1</c:v>
                </c:pt>
                <c:pt idx="2">
                  <c:v>99.1</c:v>
                </c:pt>
                <c:pt idx="3">
                  <c:v>96.3</c:v>
                </c:pt>
                <c:pt idx="4">
                  <c:v>94.1</c:v>
                </c:pt>
                <c:pt idx="5">
                  <c:v>92.5</c:v>
                </c:pt>
                <c:pt idx="6">
                  <c:v>91.3</c:v>
                </c:pt>
                <c:pt idx="7">
                  <c:v>90.5</c:v>
                </c:pt>
                <c:pt idx="8">
                  <c:v>89.8</c:v>
                </c:pt>
                <c:pt idx="9">
                  <c:v>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A-407D-89A9-ED8765E6C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406000"/>
        <c:axId val="1062404200"/>
      </c:barChart>
      <c:catAx>
        <c:axId val="106240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404200"/>
        <c:crosses val="autoZero"/>
        <c:auto val="1"/>
        <c:lblAlgn val="ctr"/>
        <c:lblOffset val="100"/>
        <c:noMultiLvlLbl val="0"/>
      </c:catAx>
      <c:valAx>
        <c:axId val="106240420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240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[DAMILOLA fitness_tracker_data.xlsx]ANALYSIS!PivotTable7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D1E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 w="22225">
            <a:solidFill>
              <a:srgbClr val="0F115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93626243069612E-2"/>
          <c:y val="6.0393026308814407E-3"/>
          <c:w val="0.9769515092845199"/>
          <c:h val="0.813788818520008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ANALYSIS!$B$46</c:f>
              <c:strCache>
                <c:ptCount val="1"/>
                <c:pt idx="0">
                  <c:v>Avg Duration mins</c:v>
                </c:pt>
              </c:strCache>
            </c:strRef>
          </c:tx>
          <c:spPr>
            <a:solidFill>
              <a:srgbClr val="1D1E2F"/>
            </a:solidFill>
            <a:ln>
              <a:noFill/>
            </a:ln>
            <a:effectLst/>
          </c:spPr>
          <c:invertIfNegative val="0"/>
          <c:cat>
            <c:strRef>
              <c:f>ANALYSIS!$A$47:$A$53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ANALYSIS!$B$47:$B$53</c:f>
              <c:numCache>
                <c:formatCode>0.00</c:formatCode>
                <c:ptCount val="7"/>
                <c:pt idx="0">
                  <c:v>52.8</c:v>
                </c:pt>
                <c:pt idx="1">
                  <c:v>56.8</c:v>
                </c:pt>
                <c:pt idx="2">
                  <c:v>53</c:v>
                </c:pt>
                <c:pt idx="3">
                  <c:v>32.5</c:v>
                </c:pt>
                <c:pt idx="4">
                  <c:v>34.75</c:v>
                </c:pt>
                <c:pt idx="5">
                  <c:v>49.75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D-4E7D-BA59-991DB89CED06}"/>
            </c:ext>
          </c:extLst>
        </c:ser>
        <c:ser>
          <c:idx val="1"/>
          <c:order val="1"/>
          <c:tx>
            <c:strRef>
              <c:f>ANALYSIS!$C$46</c:f>
              <c:strCache>
                <c:ptCount val="1"/>
                <c:pt idx="0">
                  <c:v>Avg Calories Burnt</c:v>
                </c:pt>
              </c:strCache>
            </c:strRef>
          </c:tx>
          <c:spPr>
            <a:solidFill>
              <a:srgbClr val="0070C0"/>
            </a:solidFill>
            <a:ln w="22225">
              <a:solidFill>
                <a:srgbClr val="0F1155"/>
              </a:solidFill>
            </a:ln>
            <a:effectLst/>
          </c:spPr>
          <c:invertIfNegative val="0"/>
          <c:cat>
            <c:strRef>
              <c:f>ANALYSIS!$A$47:$A$53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ANALYSIS!$C$47:$C$53</c:f>
              <c:numCache>
                <c:formatCode>0.00</c:formatCode>
                <c:ptCount val="7"/>
                <c:pt idx="0">
                  <c:v>634.6</c:v>
                </c:pt>
                <c:pt idx="1">
                  <c:v>535</c:v>
                </c:pt>
                <c:pt idx="2">
                  <c:v>504.5</c:v>
                </c:pt>
                <c:pt idx="3">
                  <c:v>103.25</c:v>
                </c:pt>
                <c:pt idx="4">
                  <c:v>402.75</c:v>
                </c:pt>
                <c:pt idx="5">
                  <c:v>386.25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D-4E7D-BA59-991DB89C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9159768"/>
        <c:axId val="1129156888"/>
      </c:barChart>
      <c:catAx>
        <c:axId val="112915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56888"/>
        <c:crosses val="autoZero"/>
        <c:auto val="1"/>
        <c:lblAlgn val="ctr"/>
        <c:lblOffset val="100"/>
        <c:noMultiLvlLbl val="0"/>
      </c:catAx>
      <c:valAx>
        <c:axId val="11291568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597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0493603689082627"/>
          <c:y val="5.531456409914174E-2"/>
          <c:w val="0.18776073760736542"/>
          <c:h val="0.31123035423194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[DAMILOLA fitness_tracker_data.xlsx]ANALYSIS!PivotTable6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 w="0">
            <a:solidFill>
              <a:schemeClr val="bg1">
                <a:lumMod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>
                <a:lumMod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926112327725815E-2"/>
          <c:y val="8.3723248209481238E-2"/>
          <c:w val="0.94186390917555973"/>
          <c:h val="0.68768473070207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Avg Duration mins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ANALYSIS!$A$31:$A$39</c:f>
              <c:strCache>
                <c:ptCount val="9"/>
                <c:pt idx="0">
                  <c:v>Cycling</c:v>
                </c:pt>
                <c:pt idx="1">
                  <c:v>Swimming</c:v>
                </c:pt>
                <c:pt idx="2">
                  <c:v>Running</c:v>
                </c:pt>
                <c:pt idx="3">
                  <c:v>Bodyweight</c:v>
                </c:pt>
                <c:pt idx="4">
                  <c:v>Jump Rope</c:v>
                </c:pt>
                <c:pt idx="5">
                  <c:v>Weightlifting</c:v>
                </c:pt>
                <c:pt idx="6">
                  <c:v>Yoga</c:v>
                </c:pt>
                <c:pt idx="7">
                  <c:v>Stretching</c:v>
                </c:pt>
                <c:pt idx="8">
                  <c:v>Rest Day</c:v>
                </c:pt>
              </c:strCache>
            </c:strRef>
          </c:cat>
          <c:val>
            <c:numRef>
              <c:f>ANALYSIS!$B$31:$B$39</c:f>
              <c:numCache>
                <c:formatCode>0.00</c:formatCode>
                <c:ptCount val="9"/>
                <c:pt idx="0">
                  <c:v>57.25</c:v>
                </c:pt>
                <c:pt idx="1">
                  <c:v>46.5</c:v>
                </c:pt>
                <c:pt idx="2">
                  <c:v>46.666666666666664</c:v>
                </c:pt>
                <c:pt idx="3">
                  <c:v>56.6</c:v>
                </c:pt>
                <c:pt idx="4">
                  <c:v>51</c:v>
                </c:pt>
                <c:pt idx="5">
                  <c:v>50.333333333333336</c:v>
                </c:pt>
                <c:pt idx="6">
                  <c:v>32.666666666666664</c:v>
                </c:pt>
                <c:pt idx="7">
                  <c:v>32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8-4CA5-9E9D-766581A8B759}"/>
            </c:ext>
          </c:extLst>
        </c:ser>
        <c:ser>
          <c:idx val="1"/>
          <c:order val="1"/>
          <c:tx>
            <c:strRef>
              <c:f>ANALYSIS!$C$30</c:f>
              <c:strCache>
                <c:ptCount val="1"/>
                <c:pt idx="0">
                  <c:v>Avg Calories Burnt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ANALYSIS!$A$31:$A$39</c:f>
              <c:strCache>
                <c:ptCount val="9"/>
                <c:pt idx="0">
                  <c:v>Cycling</c:v>
                </c:pt>
                <c:pt idx="1">
                  <c:v>Swimming</c:v>
                </c:pt>
                <c:pt idx="2">
                  <c:v>Running</c:v>
                </c:pt>
                <c:pt idx="3">
                  <c:v>Bodyweight</c:v>
                </c:pt>
                <c:pt idx="4">
                  <c:v>Jump Rope</c:v>
                </c:pt>
                <c:pt idx="5">
                  <c:v>Weightlifting</c:v>
                </c:pt>
                <c:pt idx="6">
                  <c:v>Yoga</c:v>
                </c:pt>
                <c:pt idx="7">
                  <c:v>Stretching</c:v>
                </c:pt>
                <c:pt idx="8">
                  <c:v>Rest Day</c:v>
                </c:pt>
              </c:strCache>
            </c:strRef>
          </c:cat>
          <c:val>
            <c:numRef>
              <c:f>ANALYSIS!$C$31:$C$39</c:f>
              <c:numCache>
                <c:formatCode>0.00</c:formatCode>
                <c:ptCount val="9"/>
                <c:pt idx="0">
                  <c:v>687.25</c:v>
                </c:pt>
                <c:pt idx="1">
                  <c:v>606</c:v>
                </c:pt>
                <c:pt idx="2">
                  <c:v>534</c:v>
                </c:pt>
                <c:pt idx="3">
                  <c:v>521.4</c:v>
                </c:pt>
                <c:pt idx="4">
                  <c:v>466</c:v>
                </c:pt>
                <c:pt idx="5">
                  <c:v>397.66666666666669</c:v>
                </c:pt>
                <c:pt idx="6">
                  <c:v>107.33333333333333</c:v>
                </c:pt>
                <c:pt idx="7">
                  <c:v>91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8-4CA5-9E9D-766581A8B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overlap val="-27"/>
        <c:axId val="934476400"/>
        <c:axId val="934475680"/>
      </c:barChart>
      <c:catAx>
        <c:axId val="93447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475680"/>
        <c:crosses val="autoZero"/>
        <c:auto val="1"/>
        <c:lblAlgn val="ctr"/>
        <c:lblOffset val="100"/>
        <c:noMultiLvlLbl val="0"/>
      </c:catAx>
      <c:valAx>
        <c:axId val="9344756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476400"/>
        <c:crosses val="autoZero"/>
        <c:crossBetween val="between"/>
      </c:valAx>
      <c:spPr>
        <a:noFill/>
        <a:ln>
          <a:noFill/>
        </a:ln>
        <a:effectLst>
          <a:glow rad="254000">
            <a:schemeClr val="accent1">
              <a:alpha val="40000"/>
            </a:schemeClr>
          </a:glow>
        </a:effectLst>
      </c:spPr>
    </c:plotArea>
    <c:legend>
      <c:legendPos val="r"/>
      <c:layout>
        <c:manualLayout>
          <c:xMode val="edge"/>
          <c:yMode val="edge"/>
          <c:x val="0.62751306340188984"/>
          <c:y val="3.6127932258932016E-2"/>
          <c:w val="0.18537416606156612"/>
          <c:h val="0.18834077170731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1.xml"/><Relationship Id="rId18" Type="http://schemas.openxmlformats.org/officeDocument/2006/relationships/image" Target="../media/image16.png"/><Relationship Id="rId26" Type="http://schemas.openxmlformats.org/officeDocument/2006/relationships/hyperlink" Target="http://www.linkedin.com/in/olanrewajumercy" TargetMode="External"/><Relationship Id="rId3" Type="http://schemas.openxmlformats.org/officeDocument/2006/relationships/image" Target="../media/image3.png"/><Relationship Id="rId21" Type="http://schemas.openxmlformats.org/officeDocument/2006/relationships/image" Target="../media/image18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chart" Target="../charts/chart4.xml"/><Relationship Id="rId25" Type="http://schemas.openxmlformats.org/officeDocument/2006/relationships/image" Target="../media/image21.png"/><Relationship Id="rId2" Type="http://schemas.openxmlformats.org/officeDocument/2006/relationships/image" Target="../media/image2.gif"/><Relationship Id="rId16" Type="http://schemas.openxmlformats.org/officeDocument/2006/relationships/chart" Target="../charts/chart3.xml"/><Relationship Id="rId20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24" Type="http://schemas.openxmlformats.org/officeDocument/2006/relationships/hyperlink" Target="#ANALYSIS!A1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0.svg"/><Relationship Id="rId28" Type="http://schemas.openxmlformats.org/officeDocument/2006/relationships/image" Target="../media/image22.jpeg"/><Relationship Id="rId10" Type="http://schemas.microsoft.com/office/2007/relationships/hdphoto" Target="../media/hdphoto1.wdp"/><Relationship Id="rId19" Type="http://schemas.openxmlformats.org/officeDocument/2006/relationships/image" Target="../media/image17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2.xml"/><Relationship Id="rId22" Type="http://schemas.openxmlformats.org/officeDocument/2006/relationships/image" Target="../media/image19.png"/><Relationship Id="rId27" Type="http://schemas.openxmlformats.org/officeDocument/2006/relationships/hyperlink" Target="#DAT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167269</xdr:rowOff>
    </xdr:from>
    <xdr:to>
      <xdr:col>30</xdr:col>
      <xdr:colOff>46462</xdr:colOff>
      <xdr:row>60</xdr:row>
      <xdr:rowOff>72043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630879-1A55-40C5-0895-9675930B138E}"/>
            </a:ext>
          </a:extLst>
        </xdr:cNvPr>
        <xdr:cNvSpPr/>
      </xdr:nvSpPr>
      <xdr:spPr>
        <a:xfrm>
          <a:off x="0" y="167269"/>
          <a:ext cx="18445974" cy="11055994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4</xdr:col>
      <xdr:colOff>50617</xdr:colOff>
      <xdr:row>0</xdr:row>
      <xdr:rowOff>23813</xdr:rowOff>
    </xdr:from>
    <xdr:to>
      <xdr:col>23</xdr:col>
      <xdr:colOff>55561</xdr:colOff>
      <xdr:row>34</xdr:row>
      <xdr:rowOff>7938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73FB66D-2A51-5C87-7BDD-CA212F5248C5}"/>
            </a:ext>
          </a:extLst>
        </xdr:cNvPr>
        <xdr:cNvSpPr/>
      </xdr:nvSpPr>
      <xdr:spPr>
        <a:xfrm>
          <a:off x="2495367" y="23813"/>
          <a:ext cx="11617507" cy="6191250"/>
        </a:xfrm>
        <a:prstGeom prst="roundRect">
          <a:avLst>
            <a:gd name="adj" fmla="val 5189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604024</xdr:colOff>
      <xdr:row>0</xdr:row>
      <xdr:rowOff>184934</xdr:rowOff>
    </xdr:from>
    <xdr:to>
      <xdr:col>3</xdr:col>
      <xdr:colOff>518246</xdr:colOff>
      <xdr:row>33</xdr:row>
      <xdr:rowOff>124685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506E206-E0D5-4874-889E-9DD7CE24D88D}"/>
            </a:ext>
          </a:extLst>
        </xdr:cNvPr>
        <xdr:cNvSpPr/>
      </xdr:nvSpPr>
      <xdr:spPr>
        <a:xfrm>
          <a:off x="1830658" y="184934"/>
          <a:ext cx="527539" cy="6072922"/>
        </a:xfrm>
        <a:prstGeom prst="roundRect">
          <a:avLst>
            <a:gd name="adj" fmla="val 50000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46464</xdr:colOff>
      <xdr:row>0</xdr:row>
      <xdr:rowOff>119063</xdr:rowOff>
    </xdr:from>
    <xdr:to>
      <xdr:col>22</xdr:col>
      <xdr:colOff>539750</xdr:colOff>
      <xdr:row>17</xdr:row>
      <xdr:rowOff>121491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26C0C3F-8E55-41C7-A932-29D3ED480BD4}"/>
            </a:ext>
          </a:extLst>
        </xdr:cNvPr>
        <xdr:cNvSpPr/>
      </xdr:nvSpPr>
      <xdr:spPr>
        <a:xfrm>
          <a:off x="2499732" y="119063"/>
          <a:ext cx="11532994" cy="3161940"/>
        </a:xfrm>
        <a:prstGeom prst="roundRect">
          <a:avLst>
            <a:gd name="adj" fmla="val 5189"/>
          </a:avLst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167470</xdr:colOff>
      <xdr:row>4</xdr:row>
      <xdr:rowOff>176561</xdr:rowOff>
    </xdr:from>
    <xdr:to>
      <xdr:col>13</xdr:col>
      <xdr:colOff>65049</xdr:colOff>
      <xdr:row>17</xdr:row>
      <xdr:rowOff>9292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6FBF6845-530B-4281-B44B-F16145DCD57F}"/>
            </a:ext>
          </a:extLst>
        </xdr:cNvPr>
        <xdr:cNvSpPr/>
      </xdr:nvSpPr>
      <xdr:spPr>
        <a:xfrm>
          <a:off x="2620738" y="919976"/>
          <a:ext cx="5417433" cy="2248828"/>
        </a:xfrm>
        <a:prstGeom prst="roundRect">
          <a:avLst>
            <a:gd name="adj" fmla="val 5539"/>
          </a:avLst>
        </a:prstGeom>
        <a:gradFill>
          <a:gsLst>
            <a:gs pos="98000">
              <a:srgbClr val="1199FF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0">
              <a:srgbClr val="260FB1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269488</xdr:colOff>
      <xdr:row>5</xdr:row>
      <xdr:rowOff>55562</xdr:rowOff>
    </xdr:from>
    <xdr:to>
      <xdr:col>22</xdr:col>
      <xdr:colOff>396875</xdr:colOff>
      <xdr:row>16</xdr:row>
      <xdr:rowOff>150725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23F22F1-7C50-4260-9DF7-D1FA5223AD8E}"/>
            </a:ext>
          </a:extLst>
        </xdr:cNvPr>
        <xdr:cNvSpPr/>
      </xdr:nvSpPr>
      <xdr:spPr>
        <a:xfrm>
          <a:off x="8242610" y="984830"/>
          <a:ext cx="5647241" cy="2139554"/>
        </a:xfrm>
        <a:prstGeom prst="roundRect">
          <a:avLst>
            <a:gd name="adj" fmla="val 5189"/>
          </a:avLst>
        </a:prstGeom>
        <a:solidFill>
          <a:srgbClr val="1D1E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167474</xdr:colOff>
      <xdr:row>25</xdr:row>
      <xdr:rowOff>50241</xdr:rowOff>
    </xdr:from>
    <xdr:to>
      <xdr:col>13</xdr:col>
      <xdr:colOff>301451</xdr:colOff>
      <xdr:row>33</xdr:row>
      <xdr:rowOff>8373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E443A59-D95D-4F13-8FB1-7409E19CBE73}"/>
            </a:ext>
          </a:extLst>
        </xdr:cNvPr>
        <xdr:cNvSpPr/>
      </xdr:nvSpPr>
      <xdr:spPr>
        <a:xfrm>
          <a:off x="2612573" y="4655736"/>
          <a:ext cx="5635449" cy="1431890"/>
        </a:xfrm>
        <a:prstGeom prst="roundRect">
          <a:avLst>
            <a:gd name="adj" fmla="val 518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111303</xdr:colOff>
      <xdr:row>18</xdr:row>
      <xdr:rowOff>26796</xdr:rowOff>
    </xdr:from>
    <xdr:to>
      <xdr:col>6</xdr:col>
      <xdr:colOff>368157</xdr:colOff>
      <xdr:row>24</xdr:row>
      <xdr:rowOff>141684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D0A6272-A470-4D2C-8B0B-185F0BDF2F7B}"/>
            </a:ext>
          </a:extLst>
        </xdr:cNvPr>
        <xdr:cNvSpPr/>
      </xdr:nvSpPr>
      <xdr:spPr>
        <a:xfrm>
          <a:off x="2542854" y="3263156"/>
          <a:ext cx="1472629" cy="1193674"/>
        </a:xfrm>
        <a:prstGeom prst="roundRect">
          <a:avLst>
            <a:gd name="adj" fmla="val 16665"/>
          </a:avLst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373412</xdr:colOff>
      <xdr:row>18</xdr:row>
      <xdr:rowOff>3705</xdr:rowOff>
    </xdr:from>
    <xdr:to>
      <xdr:col>8</xdr:col>
      <xdr:colOff>512928</xdr:colOff>
      <xdr:row>24</xdr:row>
      <xdr:rowOff>120935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581B43E-5AD3-4915-A144-984DF9B9F658}"/>
            </a:ext>
          </a:extLst>
        </xdr:cNvPr>
        <xdr:cNvSpPr/>
      </xdr:nvSpPr>
      <xdr:spPr>
        <a:xfrm>
          <a:off x="4021776" y="3328796"/>
          <a:ext cx="1355637" cy="1225594"/>
        </a:xfrm>
        <a:prstGeom prst="roundRect">
          <a:avLst>
            <a:gd name="adj" fmla="val 11632"/>
          </a:avLst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39635</xdr:colOff>
      <xdr:row>18</xdr:row>
      <xdr:rowOff>26796</xdr:rowOff>
    </xdr:from>
    <xdr:to>
      <xdr:col>11</xdr:col>
      <xdr:colOff>136989</xdr:colOff>
      <xdr:row>24</xdr:row>
      <xdr:rowOff>141684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B263B2F-5F00-4DD4-91F8-1DEE3896131B}"/>
            </a:ext>
          </a:extLst>
        </xdr:cNvPr>
        <xdr:cNvSpPr/>
      </xdr:nvSpPr>
      <xdr:spPr>
        <a:xfrm>
          <a:off x="5510624" y="3263156"/>
          <a:ext cx="1313129" cy="1193674"/>
        </a:xfrm>
        <a:prstGeom prst="roundRect">
          <a:avLst>
            <a:gd name="adj" fmla="val 15231"/>
          </a:avLst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205991</xdr:colOff>
      <xdr:row>18</xdr:row>
      <xdr:rowOff>26796</xdr:rowOff>
    </xdr:from>
    <xdr:to>
      <xdr:col>13</xdr:col>
      <xdr:colOff>256233</xdr:colOff>
      <xdr:row>24</xdr:row>
      <xdr:rowOff>141684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E485E693-626C-443F-976E-E2750C949B33}"/>
            </a:ext>
          </a:extLst>
        </xdr:cNvPr>
        <xdr:cNvSpPr/>
      </xdr:nvSpPr>
      <xdr:spPr>
        <a:xfrm>
          <a:off x="6892755" y="3263156"/>
          <a:ext cx="1266017" cy="1193674"/>
        </a:xfrm>
        <a:prstGeom prst="roundRect">
          <a:avLst>
            <a:gd name="adj" fmla="val 1451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209341</xdr:colOff>
      <xdr:row>6</xdr:row>
      <xdr:rowOff>18587</xdr:rowOff>
    </xdr:from>
    <xdr:to>
      <xdr:col>9</xdr:col>
      <xdr:colOff>334946</xdr:colOff>
      <xdr:row>8</xdr:row>
      <xdr:rowOff>89268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E3C742B7-0041-433E-A177-F96D4A455A74}"/>
            </a:ext>
          </a:extLst>
        </xdr:cNvPr>
        <xdr:cNvSpPr/>
      </xdr:nvSpPr>
      <xdr:spPr>
        <a:xfrm>
          <a:off x="2662609" y="1133709"/>
          <a:ext cx="3192191" cy="442388"/>
        </a:xfrm>
        <a:prstGeom prst="roundRect">
          <a:avLst>
            <a:gd name="adj" fmla="val 34003"/>
          </a:avLst>
        </a:prstGeom>
        <a:solidFill>
          <a:srgbClr val="1D1E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327492</xdr:colOff>
      <xdr:row>4</xdr:row>
      <xdr:rowOff>73916</xdr:rowOff>
    </xdr:from>
    <xdr:to>
      <xdr:col>12</xdr:col>
      <xdr:colOff>411227</xdr:colOff>
      <xdr:row>9</xdr:row>
      <xdr:rowOff>69751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3EB2CB0-57E5-116C-09CD-DC1DE47C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7346" y="817331"/>
          <a:ext cx="1923686" cy="925103"/>
        </a:xfrm>
        <a:prstGeom prst="rect">
          <a:avLst/>
        </a:prstGeom>
      </xdr:spPr>
    </xdr:pic>
    <xdr:clientData/>
  </xdr:twoCellAnchor>
  <xdr:twoCellAnchor>
    <xdr:from>
      <xdr:col>8</xdr:col>
      <xdr:colOff>162674</xdr:colOff>
      <xdr:row>18</xdr:row>
      <xdr:rowOff>41116</xdr:rowOff>
    </xdr:from>
    <xdr:to>
      <xdr:col>8</xdr:col>
      <xdr:colOff>470899</xdr:colOff>
      <xdr:row>20</xdr:row>
      <xdr:rowOff>34248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5AFC4B6-1D83-0955-1395-E9D8F60BE83C}"/>
            </a:ext>
          </a:extLst>
        </xdr:cNvPr>
        <xdr:cNvSpPr/>
      </xdr:nvSpPr>
      <xdr:spPr>
        <a:xfrm>
          <a:off x="5025775" y="3277476"/>
          <a:ext cx="308225" cy="352727"/>
        </a:xfrm>
        <a:prstGeom prst="ellipse">
          <a:avLst/>
        </a:prstGeom>
        <a:solidFill>
          <a:srgbClr val="BE202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579285</xdr:colOff>
      <xdr:row>18</xdr:row>
      <xdr:rowOff>49115</xdr:rowOff>
    </xdr:from>
    <xdr:to>
      <xdr:col>6</xdr:col>
      <xdr:colOff>256853</xdr:colOff>
      <xdr:row>19</xdr:row>
      <xdr:rowOff>154113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6BE4B3B-7B34-4047-BB5A-F22D2B84F130}"/>
            </a:ext>
          </a:extLst>
        </xdr:cNvPr>
        <xdr:cNvSpPr/>
      </xdr:nvSpPr>
      <xdr:spPr>
        <a:xfrm>
          <a:off x="3618723" y="3285475"/>
          <a:ext cx="285456" cy="28479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343319</xdr:colOff>
      <xdr:row>18</xdr:row>
      <xdr:rowOff>75363</xdr:rowOff>
    </xdr:from>
    <xdr:to>
      <xdr:col>11</xdr:col>
      <xdr:colOff>16747</xdr:colOff>
      <xdr:row>19</xdr:row>
      <xdr:rowOff>184219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3521788-6417-4BCC-BEF7-5A257EA57AFD}"/>
            </a:ext>
          </a:extLst>
        </xdr:cNvPr>
        <xdr:cNvSpPr/>
      </xdr:nvSpPr>
      <xdr:spPr>
        <a:xfrm>
          <a:off x="6456066" y="3391319"/>
          <a:ext cx="284703" cy="293076"/>
        </a:xfrm>
        <a:prstGeom prst="ellipse">
          <a:avLst/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460549</xdr:colOff>
      <xdr:row>18</xdr:row>
      <xdr:rowOff>50241</xdr:rowOff>
    </xdr:from>
    <xdr:to>
      <xdr:col>13</xdr:col>
      <xdr:colOff>92110</xdr:colOff>
      <xdr:row>19</xdr:row>
      <xdr:rowOff>108856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B271C36-0518-496D-ACED-C34303EDEAEE}"/>
            </a:ext>
          </a:extLst>
        </xdr:cNvPr>
        <xdr:cNvSpPr/>
      </xdr:nvSpPr>
      <xdr:spPr>
        <a:xfrm>
          <a:off x="7795846" y="3366197"/>
          <a:ext cx="242835" cy="242835"/>
        </a:xfrm>
        <a:prstGeom prst="ellipse">
          <a:avLst/>
        </a:prstGeom>
        <a:solidFill>
          <a:srgbClr val="F2A16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513709</xdr:colOff>
      <xdr:row>20</xdr:row>
      <xdr:rowOff>136330</xdr:rowOff>
    </xdr:from>
    <xdr:to>
      <xdr:col>8</xdr:col>
      <xdr:colOff>522270</xdr:colOff>
      <xdr:row>23</xdr:row>
      <xdr:rowOff>118904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9C5C16F-0E06-F5BF-DE6B-F466DBCDE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035" y="3732285"/>
          <a:ext cx="1224336" cy="521967"/>
        </a:xfrm>
        <a:prstGeom prst="rect">
          <a:avLst/>
        </a:prstGeom>
      </xdr:spPr>
    </xdr:pic>
    <xdr:clientData/>
  </xdr:twoCellAnchor>
  <xdr:twoCellAnchor editAs="oneCell">
    <xdr:from>
      <xdr:col>8</xdr:col>
      <xdr:colOff>203373</xdr:colOff>
      <xdr:row>18</xdr:row>
      <xdr:rowOff>93897</xdr:rowOff>
    </xdr:from>
    <xdr:to>
      <xdr:col>8</xdr:col>
      <xdr:colOff>441958</xdr:colOff>
      <xdr:row>20</xdr:row>
      <xdr:rowOff>28771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E709EDC-21C8-E8F7-42C8-06D0DE4E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453381" flipV="1">
          <a:off x="5067858" y="3418988"/>
          <a:ext cx="238585" cy="304328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468922</xdr:colOff>
      <xdr:row>0</xdr:row>
      <xdr:rowOff>150725</xdr:rowOff>
    </xdr:from>
    <xdr:to>
      <xdr:col>4</xdr:col>
      <xdr:colOff>83735</xdr:colOff>
      <xdr:row>6</xdr:row>
      <xdr:rowOff>66989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B32099D-E755-7B37-01DE-6648F155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471" y="150725"/>
          <a:ext cx="837363" cy="1021583"/>
        </a:xfrm>
        <a:prstGeom prst="rect">
          <a:avLst/>
        </a:prstGeom>
      </xdr:spPr>
    </xdr:pic>
    <xdr:clientData/>
  </xdr:twoCellAnchor>
  <xdr:twoCellAnchor editAs="oneCell">
    <xdr:from>
      <xdr:col>4</xdr:col>
      <xdr:colOff>128234</xdr:colOff>
      <xdr:row>19</xdr:row>
      <xdr:rowOff>58617</xdr:rowOff>
    </xdr:from>
    <xdr:to>
      <xdr:col>6</xdr:col>
      <xdr:colOff>159099</xdr:colOff>
      <xdr:row>24</xdr:row>
      <xdr:rowOff>50242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8E348D1-76AF-06EB-7CE0-CF3F86AB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333" y="3558793"/>
          <a:ext cx="1253414" cy="912724"/>
        </a:xfrm>
        <a:prstGeom prst="rect">
          <a:avLst/>
        </a:prstGeom>
      </xdr:spPr>
    </xdr:pic>
    <xdr:clientData/>
  </xdr:twoCellAnchor>
  <xdr:twoCellAnchor editAs="oneCell">
    <xdr:from>
      <xdr:col>5</xdr:col>
      <xdr:colOff>581183</xdr:colOff>
      <xdr:row>18</xdr:row>
      <xdr:rowOff>34622</xdr:rowOff>
    </xdr:from>
    <xdr:to>
      <xdr:col>6</xdr:col>
      <xdr:colOff>248292</xdr:colOff>
      <xdr:row>19</xdr:row>
      <xdr:rowOff>128378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49EC3B4-EF7F-7B28-7061-5BE9147F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557" y="3350578"/>
          <a:ext cx="278383" cy="277976"/>
        </a:xfrm>
        <a:prstGeom prst="rect">
          <a:avLst/>
        </a:prstGeom>
      </xdr:spPr>
    </xdr:pic>
    <xdr:clientData/>
  </xdr:twoCellAnchor>
  <xdr:twoCellAnchor editAs="oneCell">
    <xdr:from>
      <xdr:col>5</xdr:col>
      <xdr:colOff>519247</xdr:colOff>
      <xdr:row>2</xdr:row>
      <xdr:rowOff>48264</xdr:rowOff>
    </xdr:from>
    <xdr:to>
      <xdr:col>6</xdr:col>
      <xdr:colOff>156065</xdr:colOff>
      <xdr:row>3</xdr:row>
      <xdr:rowOff>182749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136056E-A54B-04DB-BEAE-4B2E46433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550" y="417719"/>
          <a:ext cx="244879" cy="319212"/>
        </a:xfrm>
        <a:prstGeom prst="rect">
          <a:avLst/>
        </a:prstGeom>
      </xdr:spPr>
    </xdr:pic>
    <xdr:clientData/>
  </xdr:twoCellAnchor>
  <xdr:twoCellAnchor editAs="oneCell">
    <xdr:from>
      <xdr:col>11</xdr:col>
      <xdr:colOff>142352</xdr:colOff>
      <xdr:row>19</xdr:row>
      <xdr:rowOff>16746</xdr:rowOff>
    </xdr:from>
    <xdr:to>
      <xdr:col>13</xdr:col>
      <xdr:colOff>66991</xdr:colOff>
      <xdr:row>23</xdr:row>
      <xdr:rowOff>175844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E1129DB-65EA-F031-F680-32A5E485D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6374" y="3516922"/>
          <a:ext cx="1147188" cy="895977"/>
        </a:xfrm>
        <a:prstGeom prst="rect">
          <a:avLst/>
        </a:prstGeom>
      </xdr:spPr>
    </xdr:pic>
    <xdr:clientData/>
  </xdr:twoCellAnchor>
  <xdr:twoCellAnchor>
    <xdr:from>
      <xdr:col>4</xdr:col>
      <xdr:colOff>343320</xdr:colOff>
      <xdr:row>2</xdr:row>
      <xdr:rowOff>65052</xdr:rowOff>
    </xdr:from>
    <xdr:to>
      <xdr:col>6</xdr:col>
      <xdr:colOff>142353</xdr:colOff>
      <xdr:row>3</xdr:row>
      <xdr:rowOff>98546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016D376-EFFA-983E-0406-04D6FAFBA353}"/>
            </a:ext>
          </a:extLst>
        </xdr:cNvPr>
        <xdr:cNvSpPr txBox="1"/>
      </xdr:nvSpPr>
      <xdr:spPr>
        <a:xfrm>
          <a:off x="2796588" y="436759"/>
          <a:ext cx="1025667" cy="219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Hello</a:t>
          </a:r>
          <a:r>
            <a:rPr lang="en-US" sz="1100" baseline="0">
              <a:solidFill>
                <a:schemeClr val="bg1"/>
              </a:solidFill>
            </a:rPr>
            <a:t> Mercy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276330</xdr:colOff>
      <xdr:row>6</xdr:row>
      <xdr:rowOff>54939</xdr:rowOff>
    </xdr:from>
    <xdr:to>
      <xdr:col>9</xdr:col>
      <xdr:colOff>343318</xdr:colOff>
      <xdr:row>7</xdr:row>
      <xdr:rowOff>105180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E87B6ED-48D9-4BCC-AA81-976659309E9E}"/>
            </a:ext>
          </a:extLst>
        </xdr:cNvPr>
        <xdr:cNvSpPr txBox="1"/>
      </xdr:nvSpPr>
      <xdr:spPr>
        <a:xfrm>
          <a:off x="2729598" y="1170061"/>
          <a:ext cx="3133574" cy="236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50kg                    </a:t>
          </a:r>
          <a:r>
            <a:rPr lang="en-US" sz="1100" baseline="0">
              <a:solidFill>
                <a:schemeClr val="bg1"/>
              </a:solidFill>
            </a:rPr>
            <a:t> 120cm              25yrs              Female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251209</xdr:colOff>
      <xdr:row>7</xdr:row>
      <xdr:rowOff>60560</xdr:rowOff>
    </xdr:from>
    <xdr:to>
      <xdr:col>9</xdr:col>
      <xdr:colOff>360065</xdr:colOff>
      <xdr:row>8</xdr:row>
      <xdr:rowOff>94056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22B5657-1E92-444A-B21E-E3972E58C156}"/>
            </a:ext>
          </a:extLst>
        </xdr:cNvPr>
        <xdr:cNvSpPr txBox="1"/>
      </xdr:nvSpPr>
      <xdr:spPr>
        <a:xfrm>
          <a:off x="2704477" y="1361536"/>
          <a:ext cx="3175442" cy="219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Weight                </a:t>
          </a:r>
          <a:r>
            <a:rPr lang="en-US" sz="1100" baseline="0">
              <a:solidFill>
                <a:schemeClr val="bg1"/>
              </a:solidFill>
            </a:rPr>
            <a:t> Height               Age                Gender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347222</xdr:colOff>
      <xdr:row>5</xdr:row>
      <xdr:rowOff>9293</xdr:rowOff>
    </xdr:from>
    <xdr:to>
      <xdr:col>4</xdr:col>
      <xdr:colOff>566854</xdr:colOff>
      <xdr:row>5</xdr:row>
      <xdr:rowOff>176725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2B67D9D-D303-245E-4AD9-2836FA76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490" y="938561"/>
          <a:ext cx="219632" cy="167432"/>
        </a:xfrm>
        <a:prstGeom prst="rect">
          <a:avLst/>
        </a:prstGeom>
      </xdr:spPr>
    </xdr:pic>
    <xdr:clientData/>
  </xdr:twoCellAnchor>
  <xdr:twoCellAnchor>
    <xdr:from>
      <xdr:col>5</xdr:col>
      <xdr:colOff>8373</xdr:colOff>
      <xdr:row>4</xdr:row>
      <xdr:rowOff>151643</xdr:rowOff>
    </xdr:from>
    <xdr:to>
      <xdr:col>9</xdr:col>
      <xdr:colOff>385187</xdr:colOff>
      <xdr:row>6</xdr:row>
      <xdr:rowOff>42784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533BD0A-7208-4B8B-B645-A1A46A6E9989}"/>
            </a:ext>
          </a:extLst>
        </xdr:cNvPr>
        <xdr:cNvSpPr txBox="1"/>
      </xdr:nvSpPr>
      <xdr:spPr>
        <a:xfrm>
          <a:off x="3074958" y="895058"/>
          <a:ext cx="2830083" cy="262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Damilola Mercy</a:t>
          </a:r>
          <a:r>
            <a:rPr lang="en-US" sz="1100">
              <a:solidFill>
                <a:schemeClr val="bg1"/>
              </a:solidFill>
            </a:rPr>
            <a:t>,</a:t>
          </a:r>
          <a:r>
            <a:rPr lang="en-US" sz="1100" baseline="0">
              <a:solidFill>
                <a:schemeClr val="bg1"/>
              </a:solidFill>
            </a:rPr>
            <a:t> your dream weight is </a:t>
          </a:r>
          <a:r>
            <a:rPr lang="en-US" sz="1100" b="1" baseline="0">
              <a:solidFill>
                <a:schemeClr val="bg1"/>
              </a:solidFill>
            </a:rPr>
            <a:t>80kg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192594</xdr:colOff>
      <xdr:row>8</xdr:row>
      <xdr:rowOff>22471</xdr:rowOff>
    </xdr:from>
    <xdr:to>
      <xdr:col>6</xdr:col>
      <xdr:colOff>351694</xdr:colOff>
      <xdr:row>10</xdr:row>
      <xdr:rowOff>124586</xdr:rowOff>
    </xdr:to>
    <xdr:sp macro="" textlink="ANALYSIS!A8">
      <xdr:nvSpPr>
        <xdr:cNvPr id="83" name="TextBox 82">
          <a:extLst>
            <a:ext uri="{FF2B5EF4-FFF2-40B4-BE49-F238E27FC236}">
              <a16:creationId xmlns:a16="http://schemas.microsoft.com/office/drawing/2014/main" id="{B308888D-4C19-B989-1B50-00BE874086D7}"/>
            </a:ext>
          </a:extLst>
        </xdr:cNvPr>
        <xdr:cNvSpPr txBox="1"/>
      </xdr:nvSpPr>
      <xdr:spPr>
        <a:xfrm>
          <a:off x="2645862" y="1509300"/>
          <a:ext cx="1385734" cy="473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4735963-DAC5-444F-B8E2-9DC2A50A4B71}" type="TxLink">
            <a:rPr lang="en-US" sz="1600" b="0" i="0" u="none" strike="noStrike">
              <a:solidFill>
                <a:srgbClr val="F7F7F7"/>
              </a:solidFill>
              <a:latin typeface="Calibri"/>
              <a:ea typeface="Calibri"/>
              <a:cs typeface="Calibri"/>
            </a:rPr>
            <a:pPr/>
            <a:t>●●●●●○○○○○</a:t>
          </a:fld>
          <a:endParaRPr lang="en-US" sz="1600">
            <a:solidFill>
              <a:srgbClr val="F7F7F7"/>
            </a:solidFill>
          </a:endParaRPr>
        </a:p>
      </xdr:txBody>
    </xdr:sp>
    <xdr:clientData/>
  </xdr:twoCellAnchor>
  <xdr:twoCellAnchor>
    <xdr:from>
      <xdr:col>6</xdr:col>
      <xdr:colOff>337803</xdr:colOff>
      <xdr:row>8</xdr:row>
      <xdr:rowOff>83639</xdr:rowOff>
    </xdr:from>
    <xdr:to>
      <xdr:col>11</xdr:col>
      <xdr:colOff>591053</xdr:colOff>
      <xdr:row>9</xdr:row>
      <xdr:rowOff>167373</xdr:rowOff>
    </xdr:to>
    <xdr:sp macro="" textlink="ANALYSIS!A9">
      <xdr:nvSpPr>
        <xdr:cNvPr id="85" name="TextBox 84">
          <a:extLst>
            <a:ext uri="{FF2B5EF4-FFF2-40B4-BE49-F238E27FC236}">
              <a16:creationId xmlns:a16="http://schemas.microsoft.com/office/drawing/2014/main" id="{66C611E9-CA2B-4966-B20A-31F4317B9C57}"/>
            </a:ext>
          </a:extLst>
        </xdr:cNvPr>
        <xdr:cNvSpPr txBox="1"/>
      </xdr:nvSpPr>
      <xdr:spPr>
        <a:xfrm>
          <a:off x="4017705" y="1570468"/>
          <a:ext cx="3319836" cy="269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6383F68-7037-40B9-AE3D-7DE7E904F4AC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You're19.6kg away from your weight loss goals.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100483</xdr:colOff>
      <xdr:row>9</xdr:row>
      <xdr:rowOff>17668</xdr:rowOff>
    </xdr:from>
    <xdr:to>
      <xdr:col>7</xdr:col>
      <xdr:colOff>259582</xdr:colOff>
      <xdr:row>10</xdr:row>
      <xdr:rowOff>51162</xdr:rowOff>
    </xdr:to>
    <xdr:sp macro="" textlink="ANALYSIS!A8">
      <xdr:nvSpPr>
        <xdr:cNvPr id="87" name="TextBox 86">
          <a:extLst>
            <a:ext uri="{FF2B5EF4-FFF2-40B4-BE49-F238E27FC236}">
              <a16:creationId xmlns:a16="http://schemas.microsoft.com/office/drawing/2014/main" id="{CBD1FBB8-B5E7-4F08-A881-1695D122B039}"/>
            </a:ext>
          </a:extLst>
        </xdr:cNvPr>
        <xdr:cNvSpPr txBox="1"/>
      </xdr:nvSpPr>
      <xdr:spPr>
        <a:xfrm>
          <a:off x="2553751" y="1690351"/>
          <a:ext cx="1999051" cy="219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Montly</a:t>
          </a:r>
          <a:r>
            <a:rPr lang="en-US" sz="1100" baseline="0"/>
            <a:t> Weight Loss Trend</a:t>
          </a:r>
          <a:endParaRPr lang="en-US" sz="1100"/>
        </a:p>
      </xdr:txBody>
    </xdr:sp>
    <xdr:clientData/>
  </xdr:twoCellAnchor>
  <xdr:twoCellAnchor>
    <xdr:from>
      <xdr:col>4</xdr:col>
      <xdr:colOff>125792</xdr:colOff>
      <xdr:row>18</xdr:row>
      <xdr:rowOff>75927</xdr:rowOff>
    </xdr:from>
    <xdr:to>
      <xdr:col>5</xdr:col>
      <xdr:colOff>594715</xdr:colOff>
      <xdr:row>19</xdr:row>
      <xdr:rowOff>92674</xdr:rowOff>
    </xdr:to>
    <xdr:sp macro="" textlink="ANALYSIS!A8">
      <xdr:nvSpPr>
        <xdr:cNvPr id="88" name="TextBox 87">
          <a:extLst>
            <a:ext uri="{FF2B5EF4-FFF2-40B4-BE49-F238E27FC236}">
              <a16:creationId xmlns:a16="http://schemas.microsoft.com/office/drawing/2014/main" id="{228A475F-74F4-4024-A890-1FE650ACFD8E}"/>
            </a:ext>
          </a:extLst>
        </xdr:cNvPr>
        <xdr:cNvSpPr txBox="1"/>
      </xdr:nvSpPr>
      <xdr:spPr>
        <a:xfrm>
          <a:off x="2557343" y="3312287"/>
          <a:ext cx="1076810" cy="196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/>
              </a:solidFill>
            </a:rPr>
            <a:t>Daily</a:t>
          </a:r>
          <a:r>
            <a:rPr lang="en-US" sz="800" b="1" baseline="0">
              <a:solidFill>
                <a:schemeClr val="tx1"/>
              </a:solidFill>
            </a:rPr>
            <a:t> Calories Burnt</a:t>
          </a:r>
          <a:endParaRPr 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16745</xdr:colOff>
      <xdr:row>13</xdr:row>
      <xdr:rowOff>125604</xdr:rowOff>
    </xdr:from>
    <xdr:to>
      <xdr:col>10</xdr:col>
      <xdr:colOff>100483</xdr:colOff>
      <xdr:row>14</xdr:row>
      <xdr:rowOff>50241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9DEE4143-F274-4E05-A9DC-6811FA329C71}"/>
            </a:ext>
          </a:extLst>
        </xdr:cNvPr>
        <xdr:cNvSpPr/>
      </xdr:nvSpPr>
      <xdr:spPr>
        <a:xfrm>
          <a:off x="6129492" y="2520461"/>
          <a:ext cx="83738" cy="108857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599077</xdr:colOff>
      <xdr:row>15</xdr:row>
      <xdr:rowOff>97823</xdr:rowOff>
    </xdr:from>
    <xdr:to>
      <xdr:col>10</xdr:col>
      <xdr:colOff>86186</xdr:colOff>
      <xdr:row>16</xdr:row>
      <xdr:rowOff>14469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4EA12531-7D7B-4CA7-A0CD-618CD2B0619F}"/>
            </a:ext>
          </a:extLst>
        </xdr:cNvPr>
        <xdr:cNvSpPr/>
      </xdr:nvSpPr>
      <xdr:spPr>
        <a:xfrm rot="163239">
          <a:off x="6100550" y="2861120"/>
          <a:ext cx="98383" cy="10086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433400</xdr:colOff>
      <xdr:row>18</xdr:row>
      <xdr:rowOff>50243</xdr:rowOff>
    </xdr:from>
    <xdr:to>
      <xdr:col>8</xdr:col>
      <xdr:colOff>291048</xdr:colOff>
      <xdr:row>19</xdr:row>
      <xdr:rowOff>66990</xdr:rowOff>
    </xdr:to>
    <xdr:sp macro="" textlink="ANALYSIS!A8">
      <xdr:nvSpPr>
        <xdr:cNvPr id="91" name="TextBox 90">
          <a:extLst>
            <a:ext uri="{FF2B5EF4-FFF2-40B4-BE49-F238E27FC236}">
              <a16:creationId xmlns:a16="http://schemas.microsoft.com/office/drawing/2014/main" id="{F7E3B017-8484-45A7-834E-50258B403C20}"/>
            </a:ext>
          </a:extLst>
        </xdr:cNvPr>
        <xdr:cNvSpPr txBox="1"/>
      </xdr:nvSpPr>
      <xdr:spPr>
        <a:xfrm>
          <a:off x="4081764" y="3375334"/>
          <a:ext cx="1073769" cy="201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/>
              </a:solidFill>
            </a:rPr>
            <a:t>Avg</a:t>
          </a:r>
          <a:r>
            <a:rPr lang="en-US" sz="800" b="1" baseline="0">
              <a:solidFill>
                <a:schemeClr val="tx1"/>
              </a:solidFill>
            </a:rPr>
            <a:t> Heart Rate</a:t>
          </a:r>
          <a:endParaRPr 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36969</xdr:colOff>
      <xdr:row>18</xdr:row>
      <xdr:rowOff>59537</xdr:rowOff>
    </xdr:from>
    <xdr:to>
      <xdr:col>10</xdr:col>
      <xdr:colOff>432572</xdr:colOff>
      <xdr:row>19</xdr:row>
      <xdr:rowOff>143271</xdr:rowOff>
    </xdr:to>
    <xdr:sp macro="" textlink="ANALYSIS!A8">
      <xdr:nvSpPr>
        <xdr:cNvPr id="93" name="TextBox 92">
          <a:extLst>
            <a:ext uri="{FF2B5EF4-FFF2-40B4-BE49-F238E27FC236}">
              <a16:creationId xmlns:a16="http://schemas.microsoft.com/office/drawing/2014/main" id="{67CEC18D-178B-4598-B534-B1E5E875C81E}"/>
            </a:ext>
          </a:extLst>
        </xdr:cNvPr>
        <xdr:cNvSpPr txBox="1"/>
      </xdr:nvSpPr>
      <xdr:spPr>
        <a:xfrm>
          <a:off x="5556823" y="3404903"/>
          <a:ext cx="1008920" cy="269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/>
              </a:solidFill>
            </a:rPr>
            <a:t>Avg</a:t>
          </a:r>
          <a:r>
            <a:rPr lang="en-US" sz="800" b="1" baseline="0">
              <a:solidFill>
                <a:schemeClr val="tx1"/>
              </a:solidFill>
            </a:rPr>
            <a:t> Steps/ 1000</a:t>
          </a:r>
          <a:endParaRPr 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222312</xdr:colOff>
      <xdr:row>18</xdr:row>
      <xdr:rowOff>26960</xdr:rowOff>
    </xdr:from>
    <xdr:to>
      <xdr:col>13</xdr:col>
      <xdr:colOff>79961</xdr:colOff>
      <xdr:row>19</xdr:row>
      <xdr:rowOff>43707</xdr:rowOff>
    </xdr:to>
    <xdr:sp macro="" textlink="ANALYSIS!A8">
      <xdr:nvSpPr>
        <xdr:cNvPr id="94" name="TextBox 93">
          <a:extLst>
            <a:ext uri="{FF2B5EF4-FFF2-40B4-BE49-F238E27FC236}">
              <a16:creationId xmlns:a16="http://schemas.microsoft.com/office/drawing/2014/main" id="{79045245-3244-4B3D-ABB4-F0D444E3D6B5}"/>
            </a:ext>
          </a:extLst>
        </xdr:cNvPr>
        <xdr:cNvSpPr txBox="1"/>
      </xdr:nvSpPr>
      <xdr:spPr>
        <a:xfrm>
          <a:off x="6968800" y="3372326"/>
          <a:ext cx="1084283" cy="202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/>
              </a:solidFill>
            </a:rPr>
            <a:t>Avg</a:t>
          </a:r>
          <a:r>
            <a:rPr lang="en-US" sz="800" b="1" baseline="0">
              <a:solidFill>
                <a:schemeClr val="tx1"/>
              </a:solidFill>
            </a:rPr>
            <a:t> Sleep</a:t>
          </a:r>
          <a:endParaRPr 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343321</xdr:colOff>
      <xdr:row>23</xdr:row>
      <xdr:rowOff>108858</xdr:rowOff>
    </xdr:from>
    <xdr:to>
      <xdr:col>5</xdr:col>
      <xdr:colOff>410308</xdr:colOff>
      <xdr:row>24</xdr:row>
      <xdr:rowOff>150726</xdr:rowOff>
    </xdr:to>
    <xdr:sp macro="" textlink="ANALYSIS!B4">
      <xdr:nvSpPr>
        <xdr:cNvPr id="96" name="TextBox 95">
          <a:extLst>
            <a:ext uri="{FF2B5EF4-FFF2-40B4-BE49-F238E27FC236}">
              <a16:creationId xmlns:a16="http://schemas.microsoft.com/office/drawing/2014/main" id="{8C2E6D5E-07A9-428B-9216-EFAB4F2163DB}"/>
            </a:ext>
          </a:extLst>
        </xdr:cNvPr>
        <xdr:cNvSpPr txBox="1"/>
      </xdr:nvSpPr>
      <xdr:spPr>
        <a:xfrm>
          <a:off x="2788420" y="4345913"/>
          <a:ext cx="678262" cy="226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B1BA437-6E8F-42F3-9DE0-2253DC43A75E}" type="TxLink">
            <a:rPr lang="en-US" sz="11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381.17</a:t>
          </a:fld>
          <a:endParaRPr 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334948</xdr:colOff>
      <xdr:row>21</xdr:row>
      <xdr:rowOff>92110</xdr:rowOff>
    </xdr:from>
    <xdr:to>
      <xdr:col>10</xdr:col>
      <xdr:colOff>242836</xdr:colOff>
      <xdr:row>22</xdr:row>
      <xdr:rowOff>150725</xdr:rowOff>
    </xdr:to>
    <xdr:sp macro="" textlink="ANALYSIS!C4">
      <xdr:nvSpPr>
        <xdr:cNvPr id="97" name="TextBox 96">
          <a:extLst>
            <a:ext uri="{FF2B5EF4-FFF2-40B4-BE49-F238E27FC236}">
              <a16:creationId xmlns:a16="http://schemas.microsoft.com/office/drawing/2014/main" id="{970F2BC1-C828-4F2A-AE29-40B7015D32D8}"/>
            </a:ext>
          </a:extLst>
        </xdr:cNvPr>
        <xdr:cNvSpPr txBox="1"/>
      </xdr:nvSpPr>
      <xdr:spPr>
        <a:xfrm>
          <a:off x="5836421" y="3960725"/>
          <a:ext cx="519162" cy="242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3409E2C-7D33-4D17-A890-C574BF01E814}" type="TxLink">
            <a:rPr lang="en-US" sz="1100" b="1" i="0" u="none" strike="noStrike">
              <a:solidFill>
                <a:srgbClr val="1D1E2F"/>
              </a:solidFill>
              <a:latin typeface="Calibri"/>
              <a:ea typeface="Calibri"/>
              <a:cs typeface="Calibri"/>
            </a:rPr>
            <a:pPr/>
            <a:t>7922</a:t>
          </a:fld>
          <a:endParaRPr lang="en-US" sz="1100" b="1">
            <a:solidFill>
              <a:srgbClr val="1D1E2F"/>
            </a:solidFill>
          </a:endParaRPr>
        </a:p>
      </xdr:txBody>
    </xdr:sp>
    <xdr:clientData/>
  </xdr:twoCellAnchor>
  <xdr:twoCellAnchor>
    <xdr:from>
      <xdr:col>11</xdr:col>
      <xdr:colOff>200968</xdr:colOff>
      <xdr:row>23</xdr:row>
      <xdr:rowOff>58615</xdr:rowOff>
    </xdr:from>
    <xdr:to>
      <xdr:col>12</xdr:col>
      <xdr:colOff>569407</xdr:colOff>
      <xdr:row>24</xdr:row>
      <xdr:rowOff>100483</xdr:rowOff>
    </xdr:to>
    <xdr:sp macro="" textlink="ANALYSIS!D4">
      <xdr:nvSpPr>
        <xdr:cNvPr id="98" name="TextBox 97">
          <a:extLst>
            <a:ext uri="{FF2B5EF4-FFF2-40B4-BE49-F238E27FC236}">
              <a16:creationId xmlns:a16="http://schemas.microsoft.com/office/drawing/2014/main" id="{124950E2-2B92-422C-BC5E-8D3AC7397BDE}"/>
            </a:ext>
          </a:extLst>
        </xdr:cNvPr>
        <xdr:cNvSpPr txBox="1"/>
      </xdr:nvSpPr>
      <xdr:spPr>
        <a:xfrm>
          <a:off x="6924990" y="4295670"/>
          <a:ext cx="979714" cy="226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FE919A7-CFD1-42F2-B4A4-49B35099459D}" type="TxLink">
            <a:rPr lang="en-US" sz="1100" b="0" i="0" u="none" strike="noStrike">
              <a:solidFill>
                <a:srgbClr val="F2A16A"/>
              </a:solidFill>
              <a:latin typeface="Calibri"/>
              <a:ea typeface="Calibri"/>
              <a:cs typeface="Calibri"/>
            </a:rPr>
            <a:pPr/>
            <a:t>7.59</a:t>
          </a:fld>
          <a:endParaRPr lang="en-US" sz="1100">
            <a:solidFill>
              <a:srgbClr val="F2A16A"/>
            </a:solidFill>
          </a:endParaRPr>
        </a:p>
      </xdr:txBody>
    </xdr:sp>
    <xdr:clientData/>
  </xdr:twoCellAnchor>
  <xdr:twoCellAnchor>
    <xdr:from>
      <xdr:col>6</xdr:col>
      <xdr:colOff>452178</xdr:colOff>
      <xdr:row>23</xdr:row>
      <xdr:rowOff>75361</xdr:rowOff>
    </xdr:from>
    <xdr:to>
      <xdr:col>8</xdr:col>
      <xdr:colOff>75363</xdr:colOff>
      <xdr:row>24</xdr:row>
      <xdr:rowOff>142350</xdr:rowOff>
    </xdr:to>
    <xdr:sp macro="" textlink="ANALYSIS!E4">
      <xdr:nvSpPr>
        <xdr:cNvPr id="99" name="TextBox 98">
          <a:extLst>
            <a:ext uri="{FF2B5EF4-FFF2-40B4-BE49-F238E27FC236}">
              <a16:creationId xmlns:a16="http://schemas.microsoft.com/office/drawing/2014/main" id="{50C76541-13AA-45E6-A816-FC87B3A1BEA6}"/>
            </a:ext>
          </a:extLst>
        </xdr:cNvPr>
        <xdr:cNvSpPr txBox="1"/>
      </xdr:nvSpPr>
      <xdr:spPr>
        <a:xfrm>
          <a:off x="4119826" y="4312416"/>
          <a:ext cx="845735" cy="25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81C6248-CEFB-469D-9E37-08EFFF7D68A7}" type="TxLink">
            <a:rPr lang="en-US" sz="1100" b="0" i="0" u="none" strike="noStrike">
              <a:solidFill>
                <a:srgbClr val="BE202B"/>
              </a:solidFill>
              <a:latin typeface="Calibri"/>
              <a:ea typeface="Calibri"/>
              <a:cs typeface="Calibri"/>
            </a:rPr>
            <a:pPr/>
            <a:t>127.83</a:t>
          </a:fld>
          <a:endParaRPr lang="en-US" sz="1100">
            <a:solidFill>
              <a:srgbClr val="BE202B"/>
            </a:solidFill>
          </a:endParaRPr>
        </a:p>
      </xdr:txBody>
    </xdr:sp>
    <xdr:clientData/>
  </xdr:twoCellAnchor>
  <xdr:twoCellAnchor editAs="oneCell">
    <xdr:from>
      <xdr:col>12</xdr:col>
      <xdr:colOff>468923</xdr:colOff>
      <xdr:row>18</xdr:row>
      <xdr:rowOff>58615</xdr:rowOff>
    </xdr:from>
    <xdr:to>
      <xdr:col>13</xdr:col>
      <xdr:colOff>86281</xdr:colOff>
      <xdr:row>19</xdr:row>
      <xdr:rowOff>103027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B5504188-EB46-CC4A-70FB-A9C71ED2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4220" y="3374571"/>
          <a:ext cx="228632" cy="228632"/>
        </a:xfrm>
        <a:prstGeom prst="rect">
          <a:avLst/>
        </a:prstGeom>
      </xdr:spPr>
    </xdr:pic>
    <xdr:clientData/>
  </xdr:twoCellAnchor>
  <xdr:twoCellAnchor>
    <xdr:from>
      <xdr:col>11</xdr:col>
      <xdr:colOff>561033</xdr:colOff>
      <xdr:row>23</xdr:row>
      <xdr:rowOff>75363</xdr:rowOff>
    </xdr:from>
    <xdr:to>
      <xdr:col>13</xdr:col>
      <xdr:colOff>293077</xdr:colOff>
      <xdr:row>24</xdr:row>
      <xdr:rowOff>175846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08E46F7-00DB-EF92-27E6-718102A3DF52}"/>
            </a:ext>
          </a:extLst>
        </xdr:cNvPr>
        <xdr:cNvSpPr txBox="1"/>
      </xdr:nvSpPr>
      <xdr:spPr>
        <a:xfrm>
          <a:off x="7285055" y="4312418"/>
          <a:ext cx="954593" cy="284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hrs /day</a:t>
          </a:r>
        </a:p>
      </xdr:txBody>
    </xdr:sp>
    <xdr:clientData/>
  </xdr:twoCellAnchor>
  <xdr:twoCellAnchor>
    <xdr:from>
      <xdr:col>5</xdr:col>
      <xdr:colOff>175843</xdr:colOff>
      <xdr:row>23</xdr:row>
      <xdr:rowOff>125607</xdr:rowOff>
    </xdr:from>
    <xdr:to>
      <xdr:col>6</xdr:col>
      <xdr:colOff>16744</xdr:colOff>
      <xdr:row>24</xdr:row>
      <xdr:rowOff>133980</xdr:rowOff>
    </xdr:to>
    <xdr:sp macro="" textlink="ANALYSIS!B4">
      <xdr:nvSpPr>
        <xdr:cNvPr id="109" name="TextBox 108">
          <a:extLst>
            <a:ext uri="{FF2B5EF4-FFF2-40B4-BE49-F238E27FC236}">
              <a16:creationId xmlns:a16="http://schemas.microsoft.com/office/drawing/2014/main" id="{479F54A5-659A-465E-8EAD-4BE239DEA5C3}"/>
            </a:ext>
          </a:extLst>
        </xdr:cNvPr>
        <xdr:cNvSpPr txBox="1"/>
      </xdr:nvSpPr>
      <xdr:spPr>
        <a:xfrm>
          <a:off x="3232217" y="4362662"/>
          <a:ext cx="452175" cy="192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Kcal</a:t>
          </a:r>
        </a:p>
      </xdr:txBody>
    </xdr:sp>
    <xdr:clientData/>
  </xdr:twoCellAnchor>
  <xdr:twoCellAnchor>
    <xdr:from>
      <xdr:col>7</xdr:col>
      <xdr:colOff>343317</xdr:colOff>
      <xdr:row>23</xdr:row>
      <xdr:rowOff>100484</xdr:rowOff>
    </xdr:from>
    <xdr:to>
      <xdr:col>8</xdr:col>
      <xdr:colOff>460547</xdr:colOff>
      <xdr:row>24</xdr:row>
      <xdr:rowOff>108857</xdr:rowOff>
    </xdr:to>
    <xdr:sp macro="" textlink="ANALYSIS!B4">
      <xdr:nvSpPr>
        <xdr:cNvPr id="114" name="TextBox 113">
          <a:extLst>
            <a:ext uri="{FF2B5EF4-FFF2-40B4-BE49-F238E27FC236}">
              <a16:creationId xmlns:a16="http://schemas.microsoft.com/office/drawing/2014/main" id="{23A8EA25-56C7-4073-9BF7-7D85DCDE7AC9}"/>
            </a:ext>
          </a:extLst>
        </xdr:cNvPr>
        <xdr:cNvSpPr txBox="1"/>
      </xdr:nvSpPr>
      <xdr:spPr>
        <a:xfrm>
          <a:off x="4622240" y="4337539"/>
          <a:ext cx="728505" cy="192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bpm/day</a:t>
          </a:r>
        </a:p>
      </xdr:txBody>
    </xdr:sp>
    <xdr:clientData/>
  </xdr:twoCellAnchor>
  <xdr:twoCellAnchor editAs="oneCell">
    <xdr:from>
      <xdr:col>10</xdr:col>
      <xdr:colOff>401935</xdr:colOff>
      <xdr:row>18</xdr:row>
      <xdr:rowOff>50242</xdr:rowOff>
    </xdr:from>
    <xdr:to>
      <xdr:col>10</xdr:col>
      <xdr:colOff>577780</xdr:colOff>
      <xdr:row>20</xdr:row>
      <xdr:rowOff>4421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BFD67E0-C79A-5630-E23A-E9BBC67E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4682" y="3366198"/>
          <a:ext cx="175845" cy="318197"/>
        </a:xfrm>
        <a:prstGeom prst="rect">
          <a:avLst/>
        </a:prstGeom>
      </xdr:spPr>
    </xdr:pic>
    <xdr:clientData/>
  </xdr:twoCellAnchor>
  <xdr:twoCellAnchor>
    <xdr:from>
      <xdr:col>10</xdr:col>
      <xdr:colOff>66992</xdr:colOff>
      <xdr:row>13</xdr:row>
      <xdr:rowOff>75359</xdr:rowOff>
    </xdr:from>
    <xdr:to>
      <xdr:col>11</xdr:col>
      <xdr:colOff>544289</xdr:colOff>
      <xdr:row>14</xdr:row>
      <xdr:rowOff>92107</xdr:rowOff>
    </xdr:to>
    <xdr:sp macro="" textlink="ANALYSIS!A8">
      <xdr:nvSpPr>
        <xdr:cNvPr id="117" name="TextBox 116">
          <a:extLst>
            <a:ext uri="{FF2B5EF4-FFF2-40B4-BE49-F238E27FC236}">
              <a16:creationId xmlns:a16="http://schemas.microsoft.com/office/drawing/2014/main" id="{9DA1E560-B9BE-40EE-9A75-7DE39CA51F1F}"/>
            </a:ext>
          </a:extLst>
        </xdr:cNvPr>
        <xdr:cNvSpPr txBox="1"/>
      </xdr:nvSpPr>
      <xdr:spPr>
        <a:xfrm>
          <a:off x="6179739" y="2470216"/>
          <a:ext cx="1088572" cy="200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000000"/>
              </a:solidFill>
            </a:rPr>
            <a:t>Current</a:t>
          </a:r>
          <a:r>
            <a:rPr lang="en-US" sz="1100" b="1" baseline="0">
              <a:solidFill>
                <a:srgbClr val="000000"/>
              </a:solidFill>
            </a:rPr>
            <a:t> Weight</a:t>
          </a:r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33500</xdr:colOff>
      <xdr:row>15</xdr:row>
      <xdr:rowOff>33494</xdr:rowOff>
    </xdr:from>
    <xdr:to>
      <xdr:col>12</xdr:col>
      <xdr:colOff>33501</xdr:colOff>
      <xdr:row>16</xdr:row>
      <xdr:rowOff>66989</xdr:rowOff>
    </xdr:to>
    <xdr:sp macro="" textlink="ANALYSIS!A8">
      <xdr:nvSpPr>
        <xdr:cNvPr id="118" name="TextBox 117">
          <a:extLst>
            <a:ext uri="{FF2B5EF4-FFF2-40B4-BE49-F238E27FC236}">
              <a16:creationId xmlns:a16="http://schemas.microsoft.com/office/drawing/2014/main" id="{62BBE20C-267C-4748-A383-56F15107A091}"/>
            </a:ext>
          </a:extLst>
        </xdr:cNvPr>
        <xdr:cNvSpPr txBox="1"/>
      </xdr:nvSpPr>
      <xdr:spPr>
        <a:xfrm>
          <a:off x="6146247" y="2796791"/>
          <a:ext cx="1222551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85000"/>
                </a:schemeClr>
              </a:solidFill>
            </a:rPr>
            <a:t>Expected</a:t>
          </a:r>
          <a:r>
            <a:rPr lang="en-US" sz="1100" baseline="0">
              <a:solidFill>
                <a:schemeClr val="bg1">
                  <a:lumMod val="85000"/>
                </a:schemeClr>
              </a:solidFill>
            </a:rPr>
            <a:t> Weight</a:t>
          </a:r>
        </a:p>
        <a:p>
          <a:endParaRPr lang="en-US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11</xdr:col>
      <xdr:colOff>376818</xdr:colOff>
      <xdr:row>13</xdr:row>
      <xdr:rowOff>66988</xdr:rowOff>
    </xdr:from>
    <xdr:to>
      <xdr:col>12</xdr:col>
      <xdr:colOff>452179</xdr:colOff>
      <xdr:row>14</xdr:row>
      <xdr:rowOff>108856</xdr:rowOff>
    </xdr:to>
    <xdr:sp macro="" textlink="ANALYSIS!A12">
      <xdr:nvSpPr>
        <xdr:cNvPr id="119" name="TextBox 118">
          <a:extLst>
            <a:ext uri="{FF2B5EF4-FFF2-40B4-BE49-F238E27FC236}">
              <a16:creationId xmlns:a16="http://schemas.microsoft.com/office/drawing/2014/main" id="{433E83F1-A5FD-0EC5-D800-04B6AC186D98}"/>
            </a:ext>
          </a:extLst>
        </xdr:cNvPr>
        <xdr:cNvSpPr txBox="1"/>
      </xdr:nvSpPr>
      <xdr:spPr>
        <a:xfrm>
          <a:off x="7100840" y="2461845"/>
          <a:ext cx="686636" cy="226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CF7E823-6674-4FFF-9068-66B74008ABFA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99.60</a:t>
          </a:fld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KG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418686</xdr:colOff>
      <xdr:row>15</xdr:row>
      <xdr:rowOff>33493</xdr:rowOff>
    </xdr:from>
    <xdr:to>
      <xdr:col>12</xdr:col>
      <xdr:colOff>494047</xdr:colOff>
      <xdr:row>16</xdr:row>
      <xdr:rowOff>75362</xdr:rowOff>
    </xdr:to>
    <xdr:sp macro="" textlink="ANALYSIS!B12">
      <xdr:nvSpPr>
        <xdr:cNvPr id="120" name="TextBox 119">
          <a:extLst>
            <a:ext uri="{FF2B5EF4-FFF2-40B4-BE49-F238E27FC236}">
              <a16:creationId xmlns:a16="http://schemas.microsoft.com/office/drawing/2014/main" id="{7C5D694E-727B-45C0-A24B-F732DA153E6E}"/>
            </a:ext>
          </a:extLst>
        </xdr:cNvPr>
        <xdr:cNvSpPr txBox="1"/>
      </xdr:nvSpPr>
      <xdr:spPr>
        <a:xfrm>
          <a:off x="7142708" y="2796790"/>
          <a:ext cx="686636" cy="226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691BA0-6B52-44DD-AD87-9D344A2307EB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89.80</a:t>
          </a:fld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KG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184220</xdr:colOff>
      <xdr:row>20</xdr:row>
      <xdr:rowOff>16746</xdr:rowOff>
    </xdr:from>
    <xdr:to>
      <xdr:col>11</xdr:col>
      <xdr:colOff>8376</xdr:colOff>
      <xdr:row>24</xdr:row>
      <xdr:rowOff>125603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8CD2D9C1-A7C1-486C-A69D-1D437DB36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117230</xdr:colOff>
      <xdr:row>18</xdr:row>
      <xdr:rowOff>3</xdr:rowOff>
    </xdr:from>
    <xdr:to>
      <xdr:col>20</xdr:col>
      <xdr:colOff>293076</xdr:colOff>
      <xdr:row>32</xdr:row>
      <xdr:rowOff>8373</xdr:rowOff>
    </xdr:to>
    <xdr:sp macro="" textlink="">
      <xdr:nvSpPr>
        <xdr:cNvPr id="123" name="Rectangle: Rounded Corners 122">
          <a:extLst>
            <a:ext uri="{FF2B5EF4-FFF2-40B4-BE49-F238E27FC236}">
              <a16:creationId xmlns:a16="http://schemas.microsoft.com/office/drawing/2014/main" id="{70694718-02E3-4BA3-AF17-91E2CAE5B07F}"/>
            </a:ext>
          </a:extLst>
        </xdr:cNvPr>
        <xdr:cNvSpPr/>
      </xdr:nvSpPr>
      <xdr:spPr>
        <a:xfrm>
          <a:off x="8675076" y="3315959"/>
          <a:ext cx="3843495" cy="2587447"/>
        </a:xfrm>
        <a:prstGeom prst="roundRect">
          <a:avLst>
            <a:gd name="adj" fmla="val 518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184217</xdr:colOff>
      <xdr:row>9</xdr:row>
      <xdr:rowOff>167473</xdr:rowOff>
    </xdr:from>
    <xdr:to>
      <xdr:col>9</xdr:col>
      <xdr:colOff>586151</xdr:colOff>
      <xdr:row>16</xdr:row>
      <xdr:rowOff>51415</xdr:rowOff>
    </xdr:to>
    <xdr:graphicFrame macro="">
      <xdr:nvGraphicFramePr>
        <xdr:cNvPr id="129" name="Chart 128">
          <a:extLst>
            <a:ext uri="{FF2B5EF4-FFF2-40B4-BE49-F238E27FC236}">
              <a16:creationId xmlns:a16="http://schemas.microsoft.com/office/drawing/2014/main" id="{30EE8D30-B329-4296-AD79-4A59B5291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385281</xdr:colOff>
      <xdr:row>18</xdr:row>
      <xdr:rowOff>37171</xdr:rowOff>
    </xdr:from>
    <xdr:to>
      <xdr:col>22</xdr:col>
      <xdr:colOff>529683</xdr:colOff>
      <xdr:row>33</xdr:row>
      <xdr:rowOff>1</xdr:rowOff>
    </xdr:to>
    <xdr:sp macro="" textlink="">
      <xdr:nvSpPr>
        <xdr:cNvPr id="133" name="Rectangle: Rounded Corners 132">
          <a:extLst>
            <a:ext uri="{FF2B5EF4-FFF2-40B4-BE49-F238E27FC236}">
              <a16:creationId xmlns:a16="http://schemas.microsoft.com/office/drawing/2014/main" id="{33974E49-486D-41B1-8F74-F57FE798AA4B}"/>
            </a:ext>
          </a:extLst>
        </xdr:cNvPr>
        <xdr:cNvSpPr/>
      </xdr:nvSpPr>
      <xdr:spPr>
        <a:xfrm>
          <a:off x="8358403" y="3382537"/>
          <a:ext cx="5664256" cy="2750635"/>
        </a:xfrm>
        <a:prstGeom prst="roundRect">
          <a:avLst>
            <a:gd name="adj" fmla="val 11071"/>
          </a:avLst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74341</xdr:colOff>
      <xdr:row>18</xdr:row>
      <xdr:rowOff>80059</xdr:rowOff>
    </xdr:from>
    <xdr:to>
      <xdr:col>22</xdr:col>
      <xdr:colOff>400911</xdr:colOff>
      <xdr:row>23</xdr:row>
      <xdr:rowOff>157975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727ECE7-9A64-41A7-B776-FFC1C141196F}"/>
            </a:ext>
          </a:extLst>
        </xdr:cNvPr>
        <xdr:cNvSpPr/>
      </xdr:nvSpPr>
      <xdr:spPr>
        <a:xfrm flipH="1">
          <a:off x="12954000" y="3425425"/>
          <a:ext cx="939887" cy="1007184"/>
        </a:xfrm>
        <a:prstGeom prst="ellipse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111512</xdr:colOff>
      <xdr:row>17</xdr:row>
      <xdr:rowOff>90528</xdr:rowOff>
    </xdr:from>
    <xdr:to>
      <xdr:col>22</xdr:col>
      <xdr:colOff>562360</xdr:colOff>
      <xdr:row>31</xdr:row>
      <xdr:rowOff>47719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0355B2D-AE81-CC24-B709-78BD8E635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7853" y="3250040"/>
          <a:ext cx="1677483" cy="2559142"/>
        </a:xfrm>
        <a:prstGeom prst="rect">
          <a:avLst/>
        </a:prstGeom>
      </xdr:spPr>
    </xdr:pic>
    <xdr:clientData/>
  </xdr:twoCellAnchor>
  <xdr:twoCellAnchor>
    <xdr:from>
      <xdr:col>4</xdr:col>
      <xdr:colOff>98978</xdr:colOff>
      <xdr:row>25</xdr:row>
      <xdr:rowOff>77056</xdr:rowOff>
    </xdr:from>
    <xdr:to>
      <xdr:col>13</xdr:col>
      <xdr:colOff>256853</xdr:colOff>
      <xdr:row>32</xdr:row>
      <xdr:rowOff>161170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F6B230-104E-47A7-AB06-C7FF5AC33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607885</xdr:colOff>
      <xdr:row>4</xdr:row>
      <xdr:rowOff>134937</xdr:rowOff>
    </xdr:from>
    <xdr:to>
      <xdr:col>22</xdr:col>
      <xdr:colOff>230188</xdr:colOff>
      <xdr:row>17</xdr:row>
      <xdr:rowOff>9293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58A9B8-A1AA-497D-9EA4-A6232CAC5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599327</xdr:colOff>
      <xdr:row>18</xdr:row>
      <xdr:rowOff>77056</xdr:rowOff>
    </xdr:from>
    <xdr:to>
      <xdr:col>18</xdr:col>
      <xdr:colOff>299663</xdr:colOff>
      <xdr:row>32</xdr:row>
      <xdr:rowOff>171236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5885400-9A95-41CD-ADE1-49320FCFD865}"/>
            </a:ext>
          </a:extLst>
        </xdr:cNvPr>
        <xdr:cNvSpPr txBox="1"/>
      </xdr:nvSpPr>
      <xdr:spPr>
        <a:xfrm>
          <a:off x="8501866" y="3313416"/>
          <a:ext cx="2739775" cy="2611348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spc="400" baseline="0">
              <a:solidFill>
                <a:schemeClr val="tx1">
                  <a:lumMod val="50000"/>
                  <a:lumOff val="50000"/>
                </a:schemeClr>
              </a:solidFill>
            </a:rPr>
            <a:t>This Month's Summary</a:t>
          </a:r>
          <a:endParaRPr lang="en-US" sz="1100" b="1" spc="400" baseline="0">
            <a:solidFill>
              <a:schemeClr val="bg1">
                <a:lumMod val="50000"/>
              </a:schemeClr>
            </a:solidFill>
          </a:endParaRPr>
        </a:p>
        <a:p>
          <a:pPr lvl="0">
            <a:spcBef>
              <a:spcPts val="600"/>
            </a:spcBef>
            <a:spcAft>
              <a:spcPts val="650"/>
            </a:spcAft>
          </a:pPr>
          <a:r>
            <a:rPr lang="en-US" sz="1100" b="1" spc="0" baseline="0">
              <a:solidFill>
                <a:schemeClr val="tx1"/>
              </a:solidFill>
            </a:rPr>
            <a:t>Total Workout:</a:t>
          </a:r>
        </a:p>
        <a:p>
          <a:pPr lvl="0">
            <a:spcBef>
              <a:spcPts val="600"/>
            </a:spcBef>
            <a:spcAft>
              <a:spcPts val="650"/>
            </a:spcAft>
          </a:pPr>
          <a:r>
            <a:rPr lang="en-US" sz="1100" b="1" spc="0" baseline="0">
              <a:solidFill>
                <a:schemeClr val="tx1"/>
              </a:solidFill>
            </a:rPr>
            <a:t>Total Calories Burnt:</a:t>
          </a:r>
        </a:p>
        <a:p>
          <a:pPr lvl="0">
            <a:spcBef>
              <a:spcPts val="600"/>
            </a:spcBef>
            <a:spcAft>
              <a:spcPts val="650"/>
            </a:spcAft>
          </a:pPr>
          <a:r>
            <a:rPr lang="en-US" sz="1100" b="1" spc="0" baseline="0">
              <a:solidFill>
                <a:schemeClr val="tx1"/>
              </a:solidFill>
            </a:rPr>
            <a:t>Total Time:</a:t>
          </a:r>
        </a:p>
        <a:p>
          <a:pPr lvl="0">
            <a:spcBef>
              <a:spcPts val="600"/>
            </a:spcBef>
            <a:spcAft>
              <a:spcPts val="650"/>
            </a:spcAft>
          </a:pPr>
          <a:r>
            <a:rPr lang="en-US" sz="1100" b="1" spc="0" baseline="0">
              <a:solidFill>
                <a:schemeClr val="tx1"/>
              </a:solidFill>
            </a:rPr>
            <a:t>Actives Days:</a:t>
          </a:r>
        </a:p>
        <a:p>
          <a:pPr lvl="0">
            <a:spcBef>
              <a:spcPts val="600"/>
            </a:spcBef>
            <a:spcAft>
              <a:spcPts val="650"/>
            </a:spcAft>
          </a:pPr>
          <a:r>
            <a:rPr lang="en-US" sz="1100" b="1" spc="0" baseline="0">
              <a:solidFill>
                <a:schemeClr val="tx1"/>
              </a:solidFill>
            </a:rPr>
            <a:t>Most Common Intensity:</a:t>
          </a:r>
        </a:p>
        <a:p>
          <a:pPr lvl="0">
            <a:spcBef>
              <a:spcPts val="600"/>
            </a:spcBef>
            <a:spcAft>
              <a:spcPts val="650"/>
            </a:spcAft>
          </a:pPr>
          <a:r>
            <a:rPr lang="en-US" sz="1100" b="1" spc="0" baseline="0">
              <a:solidFill>
                <a:schemeClr val="tx1"/>
              </a:solidFill>
            </a:rPr>
            <a:t>Goal Completion</a:t>
          </a:r>
          <a:r>
            <a:rPr lang="en-US" sz="1100" b="1" spc="400" baseline="0">
              <a:solidFill>
                <a:schemeClr val="tx1"/>
              </a:solidFill>
            </a:rPr>
            <a:t>:</a:t>
          </a:r>
        </a:p>
        <a:p>
          <a:pPr lvl="0">
            <a:spcBef>
              <a:spcPts val="600"/>
            </a:spcBef>
            <a:spcAft>
              <a:spcPts val="650"/>
            </a:spcAft>
          </a:pPr>
          <a:endParaRPr lang="en-US" sz="1100" b="1" spc="4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547954</xdr:colOff>
      <xdr:row>20</xdr:row>
      <xdr:rowOff>8564</xdr:rowOff>
    </xdr:from>
    <xdr:to>
      <xdr:col>13</xdr:col>
      <xdr:colOff>593674</xdr:colOff>
      <xdr:row>21</xdr:row>
      <xdr:rowOff>20790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C9097B7-EA1F-4A1F-AE83-EA63DE7597B3}"/>
            </a:ext>
          </a:extLst>
        </xdr:cNvPr>
        <xdr:cNvSpPr/>
      </xdr:nvSpPr>
      <xdr:spPr>
        <a:xfrm>
          <a:off x="8450493" y="3604519"/>
          <a:ext cx="45720" cy="192024"/>
        </a:xfrm>
        <a:prstGeom prst="roundRect">
          <a:avLst>
            <a:gd name="adj" fmla="val 50000"/>
          </a:avLst>
        </a:prstGeom>
        <a:solidFill>
          <a:srgbClr val="1D1E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547957</xdr:colOff>
      <xdr:row>23</xdr:row>
      <xdr:rowOff>119865</xdr:rowOff>
    </xdr:from>
    <xdr:to>
      <xdr:col>13</xdr:col>
      <xdr:colOff>593677</xdr:colOff>
      <xdr:row>24</xdr:row>
      <xdr:rowOff>132091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DFDE8C2-4DBE-4B7B-ADFE-3929FCD111C7}"/>
            </a:ext>
          </a:extLst>
        </xdr:cNvPr>
        <xdr:cNvSpPr/>
      </xdr:nvSpPr>
      <xdr:spPr>
        <a:xfrm>
          <a:off x="8450496" y="4255213"/>
          <a:ext cx="45720" cy="192024"/>
        </a:xfrm>
        <a:prstGeom prst="roundRect">
          <a:avLst>
            <a:gd name="adj" fmla="val 50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553610</xdr:colOff>
      <xdr:row>25</xdr:row>
      <xdr:rowOff>136990</xdr:rowOff>
    </xdr:from>
    <xdr:to>
      <xdr:col>13</xdr:col>
      <xdr:colOff>599329</xdr:colOff>
      <xdr:row>26</xdr:row>
      <xdr:rowOff>149216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15DDA37-9488-47E0-856B-09A7723BB5E5}"/>
            </a:ext>
          </a:extLst>
        </xdr:cNvPr>
        <xdr:cNvSpPr/>
      </xdr:nvSpPr>
      <xdr:spPr>
        <a:xfrm flipH="1">
          <a:off x="8456149" y="4631934"/>
          <a:ext cx="45719" cy="192024"/>
        </a:xfrm>
        <a:prstGeom prst="roundRect">
          <a:avLst>
            <a:gd name="adj" fmla="val 50000"/>
          </a:avLst>
        </a:prstGeom>
        <a:solidFill>
          <a:srgbClr val="9AE6C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547957</xdr:colOff>
      <xdr:row>21</xdr:row>
      <xdr:rowOff>145555</xdr:rowOff>
    </xdr:from>
    <xdr:to>
      <xdr:col>13</xdr:col>
      <xdr:colOff>593676</xdr:colOff>
      <xdr:row>22</xdr:row>
      <xdr:rowOff>157781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B4D07933-FCA5-4197-9A27-EA9EFBB40304}"/>
            </a:ext>
          </a:extLst>
        </xdr:cNvPr>
        <xdr:cNvSpPr/>
      </xdr:nvSpPr>
      <xdr:spPr>
        <a:xfrm>
          <a:off x="8450496" y="3921308"/>
          <a:ext cx="45719" cy="192024"/>
        </a:xfrm>
        <a:prstGeom prst="roundRect">
          <a:avLst>
            <a:gd name="adj" fmla="val 50000"/>
          </a:avLst>
        </a:prstGeom>
        <a:solidFill>
          <a:srgbClr val="11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573643</xdr:colOff>
      <xdr:row>29</xdr:row>
      <xdr:rowOff>25686</xdr:rowOff>
    </xdr:from>
    <xdr:to>
      <xdr:col>14</xdr:col>
      <xdr:colOff>11475</xdr:colOff>
      <xdr:row>30</xdr:row>
      <xdr:rowOff>37912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9072ED7E-23BD-40DC-B86B-FD96E82C66DA}"/>
            </a:ext>
          </a:extLst>
        </xdr:cNvPr>
        <xdr:cNvSpPr/>
      </xdr:nvSpPr>
      <xdr:spPr>
        <a:xfrm>
          <a:off x="8476182" y="5239821"/>
          <a:ext cx="45720" cy="192024"/>
        </a:xfrm>
        <a:prstGeom prst="roundRect">
          <a:avLst>
            <a:gd name="adj" fmla="val 50000"/>
          </a:avLst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582203</xdr:colOff>
      <xdr:row>27</xdr:row>
      <xdr:rowOff>77059</xdr:rowOff>
    </xdr:from>
    <xdr:to>
      <xdr:col>14</xdr:col>
      <xdr:colOff>20034</xdr:colOff>
      <xdr:row>28</xdr:row>
      <xdr:rowOff>85618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90A5546C-BA41-454E-8D2D-02F7D260CC84}"/>
            </a:ext>
          </a:extLst>
        </xdr:cNvPr>
        <xdr:cNvSpPr/>
      </xdr:nvSpPr>
      <xdr:spPr>
        <a:xfrm>
          <a:off x="8484742" y="4931598"/>
          <a:ext cx="45719" cy="188357"/>
        </a:xfrm>
        <a:prstGeom prst="roundRect">
          <a:avLst>
            <a:gd name="adj" fmla="val 50000"/>
          </a:avLst>
        </a:prstGeom>
        <a:solidFill>
          <a:srgbClr val="F2A16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337352</xdr:colOff>
      <xdr:row>19</xdr:row>
      <xdr:rowOff>139388</xdr:rowOff>
    </xdr:from>
    <xdr:to>
      <xdr:col>16</xdr:col>
      <xdr:colOff>404339</xdr:colOff>
      <xdr:row>20</xdr:row>
      <xdr:rowOff>181257</xdr:rowOff>
    </xdr:to>
    <xdr:sp macro="" textlink="ANALYSIS!F12">
      <xdr:nvSpPr>
        <xdr:cNvPr id="31" name="TextBox 30">
          <a:extLst>
            <a:ext uri="{FF2B5EF4-FFF2-40B4-BE49-F238E27FC236}">
              <a16:creationId xmlns:a16="http://schemas.microsoft.com/office/drawing/2014/main" id="{BC759756-9562-4AE0-841E-D6667F649CF5}"/>
            </a:ext>
          </a:extLst>
        </xdr:cNvPr>
        <xdr:cNvSpPr txBox="1"/>
      </xdr:nvSpPr>
      <xdr:spPr>
        <a:xfrm>
          <a:off x="9537108" y="3670608"/>
          <a:ext cx="680304" cy="227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EEE8E0-A25D-4178-9C33-1989A90FB7E9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Calibri"/>
              <a:ea typeface="Calibri"/>
              <a:cs typeface="Calibri"/>
            </a:rPr>
            <a:pPr/>
            <a:t>25.00</a:t>
          </a:fld>
          <a:endParaRPr lang="en-US" sz="11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15</xdr:col>
      <xdr:colOff>593788</xdr:colOff>
      <xdr:row>21</xdr:row>
      <xdr:rowOff>106190</xdr:rowOff>
    </xdr:from>
    <xdr:to>
      <xdr:col>17</xdr:col>
      <xdr:colOff>47457</xdr:colOff>
      <xdr:row>22</xdr:row>
      <xdr:rowOff>154115</xdr:rowOff>
    </xdr:to>
    <xdr:sp macro="" textlink="ANALYSIS!H12">
      <xdr:nvSpPr>
        <xdr:cNvPr id="37" name="TextBox 36">
          <a:extLst>
            <a:ext uri="{FF2B5EF4-FFF2-40B4-BE49-F238E27FC236}">
              <a16:creationId xmlns:a16="http://schemas.microsoft.com/office/drawing/2014/main" id="{3926C05C-8A26-451D-9A3F-28302E24B067}"/>
            </a:ext>
          </a:extLst>
        </xdr:cNvPr>
        <xdr:cNvSpPr txBox="1"/>
      </xdr:nvSpPr>
      <xdr:spPr>
        <a:xfrm>
          <a:off x="9793544" y="4009117"/>
          <a:ext cx="680303" cy="23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156A0E6-F830-405D-9B51-4D10479D7883}" type="TxLink"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pPr/>
            <a:t>11435.00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15</xdr:col>
      <xdr:colOff>179796</xdr:colOff>
      <xdr:row>23</xdr:row>
      <xdr:rowOff>80500</xdr:rowOff>
    </xdr:from>
    <xdr:to>
      <xdr:col>16</xdr:col>
      <xdr:colOff>246783</xdr:colOff>
      <xdr:row>24</xdr:row>
      <xdr:rowOff>128423</xdr:rowOff>
    </xdr:to>
    <xdr:sp macro="" textlink="ANALYSIS!I12">
      <xdr:nvSpPr>
        <xdr:cNvPr id="40" name="TextBox 39">
          <a:extLst>
            <a:ext uri="{FF2B5EF4-FFF2-40B4-BE49-F238E27FC236}">
              <a16:creationId xmlns:a16="http://schemas.microsoft.com/office/drawing/2014/main" id="{3B0C8830-27B8-42C5-8173-2434AD472F47}"/>
            </a:ext>
          </a:extLst>
        </xdr:cNvPr>
        <xdr:cNvSpPr txBox="1"/>
      </xdr:nvSpPr>
      <xdr:spPr>
        <a:xfrm>
          <a:off x="9379552" y="4355134"/>
          <a:ext cx="680304" cy="233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2CBD12A-3EAA-4BE7-8C9D-A3E462AF571D}" type="TxLink"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pPr/>
            <a:t>20.47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15</xdr:col>
      <xdr:colOff>256855</xdr:colOff>
      <xdr:row>25</xdr:row>
      <xdr:rowOff>16914</xdr:rowOff>
    </xdr:from>
    <xdr:to>
      <xdr:col>16</xdr:col>
      <xdr:colOff>323842</xdr:colOff>
      <xdr:row>26</xdr:row>
      <xdr:rowOff>58782</xdr:rowOff>
    </xdr:to>
    <xdr:sp macro="" textlink="ANALYSIS!J12">
      <xdr:nvSpPr>
        <xdr:cNvPr id="42" name="TextBox 41">
          <a:extLst>
            <a:ext uri="{FF2B5EF4-FFF2-40B4-BE49-F238E27FC236}">
              <a16:creationId xmlns:a16="http://schemas.microsoft.com/office/drawing/2014/main" id="{0ACEE1CD-F093-41F3-85DD-F60CEC8E45AA}"/>
            </a:ext>
          </a:extLst>
        </xdr:cNvPr>
        <xdr:cNvSpPr txBox="1"/>
      </xdr:nvSpPr>
      <xdr:spPr>
        <a:xfrm>
          <a:off x="9456611" y="4663255"/>
          <a:ext cx="680304" cy="227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FD54F19E-00FF-4211-AE83-8343A4BF8B13}" type="TxLink"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pPr algn="l"/>
            <a:t>25.00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16</xdr:col>
      <xdr:colOff>325347</xdr:colOff>
      <xdr:row>27</xdr:row>
      <xdr:rowOff>16917</xdr:rowOff>
    </xdr:from>
    <xdr:to>
      <xdr:col>17</xdr:col>
      <xdr:colOff>392333</xdr:colOff>
      <xdr:row>28</xdr:row>
      <xdr:rowOff>65051</xdr:rowOff>
    </xdr:to>
    <xdr:sp macro="" textlink="ANALYSIS!K12">
      <xdr:nvSpPr>
        <xdr:cNvPr id="43" name="TextBox 42">
          <a:extLst>
            <a:ext uri="{FF2B5EF4-FFF2-40B4-BE49-F238E27FC236}">
              <a16:creationId xmlns:a16="http://schemas.microsoft.com/office/drawing/2014/main" id="{883E5BAB-F421-4F9F-939F-00FE9DEF36CC}"/>
            </a:ext>
          </a:extLst>
        </xdr:cNvPr>
        <xdr:cNvSpPr txBox="1"/>
      </xdr:nvSpPr>
      <xdr:spPr>
        <a:xfrm>
          <a:off x="10138420" y="5034966"/>
          <a:ext cx="680303" cy="233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727AA2B-FC2D-44FE-9131-2905313CF4BF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Calibri"/>
              <a:ea typeface="Calibri"/>
              <a:cs typeface="Calibri"/>
            </a:rPr>
            <a:pPr/>
            <a:t>Medium</a:t>
          </a:fld>
          <a:endParaRPr lang="en-US" sz="11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13</xdr:col>
      <xdr:colOff>590763</xdr:colOff>
      <xdr:row>29</xdr:row>
      <xdr:rowOff>136989</xdr:rowOff>
    </xdr:from>
    <xdr:to>
      <xdr:col>17</xdr:col>
      <xdr:colOff>513707</xdr:colOff>
      <xdr:row>31</xdr:row>
      <xdr:rowOff>77057</xdr:rowOff>
    </xdr:to>
    <xdr:sp macro="" textlink="ANALYSIS!L13">
      <xdr:nvSpPr>
        <xdr:cNvPr id="45" name="TextBox 44">
          <a:extLst>
            <a:ext uri="{FF2B5EF4-FFF2-40B4-BE49-F238E27FC236}">
              <a16:creationId xmlns:a16="http://schemas.microsoft.com/office/drawing/2014/main" id="{D823DC1E-F083-46B3-8F2D-21244992B9EB}"/>
            </a:ext>
          </a:extLst>
        </xdr:cNvPr>
        <xdr:cNvSpPr txBox="1"/>
      </xdr:nvSpPr>
      <xdr:spPr>
        <a:xfrm>
          <a:off x="8493302" y="5351124"/>
          <a:ext cx="2354495" cy="299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E321263-C5B0-40DE-B112-E87A96F7D949}" type="TxLink">
            <a:rPr lang="en-US" sz="1800" b="0" i="0" u="none" strike="noStrike">
              <a:solidFill>
                <a:srgbClr val="1103C5"/>
              </a:solidFill>
              <a:latin typeface="Calibri"/>
              <a:ea typeface="Calibri"/>
              <a:cs typeface="Calibri"/>
            </a:rPr>
            <a:pPr/>
            <a:t>●●●●●●●●●● 125%</a:t>
          </a:fld>
          <a:endParaRPr lang="en-US" sz="1800" b="1" i="0" u="none" strike="noStrike">
            <a:solidFill>
              <a:srgbClr val="1103C5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488023</xdr:colOff>
      <xdr:row>31</xdr:row>
      <xdr:rowOff>0</xdr:rowOff>
    </xdr:from>
    <xdr:to>
      <xdr:col>21</xdr:col>
      <xdr:colOff>316787</xdr:colOff>
      <xdr:row>32</xdr:row>
      <xdr:rowOff>102742</xdr:rowOff>
    </xdr:to>
    <xdr:sp macro="" textlink="ANALYSIS!N12">
      <xdr:nvSpPr>
        <xdr:cNvPr id="47" name="TextBox 46">
          <a:extLst>
            <a:ext uri="{FF2B5EF4-FFF2-40B4-BE49-F238E27FC236}">
              <a16:creationId xmlns:a16="http://schemas.microsoft.com/office/drawing/2014/main" id="{56FD8026-B1C3-4274-9323-2A7CC3F5575A}"/>
            </a:ext>
          </a:extLst>
        </xdr:cNvPr>
        <xdr:cNvSpPr txBox="1"/>
      </xdr:nvSpPr>
      <xdr:spPr>
        <a:xfrm>
          <a:off x="8390562" y="5573730"/>
          <a:ext cx="4691865" cy="28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8E998F-728A-4163-8DB9-9DC3E7537846}" type="TxLink">
            <a:rPr lang="en-US" sz="13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Hurray!! You lost -3.7 kg this month! Just 19.6 kg to go! 🎉</a:t>
          </a:fld>
          <a:endParaRPr lang="en-US" sz="1300" b="1" i="0" u="none" strike="noStrike">
            <a:solidFill>
              <a:srgbClr val="1103C5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85618</xdr:colOff>
      <xdr:row>25</xdr:row>
      <xdr:rowOff>8563</xdr:rowOff>
    </xdr:from>
    <xdr:to>
      <xdr:col>13</xdr:col>
      <xdr:colOff>299663</xdr:colOff>
      <xdr:row>32</xdr:row>
      <xdr:rowOff>171237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99205D7B-F26E-579F-21E5-514EE5344D3D}"/>
            </a:ext>
          </a:extLst>
        </xdr:cNvPr>
        <xdr:cNvSpPr/>
      </xdr:nvSpPr>
      <xdr:spPr>
        <a:xfrm>
          <a:off x="2517169" y="4503507"/>
          <a:ext cx="5685033" cy="1421258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195668</xdr:colOff>
      <xdr:row>1</xdr:row>
      <xdr:rowOff>65048</xdr:rowOff>
    </xdr:from>
    <xdr:to>
      <xdr:col>22</xdr:col>
      <xdr:colOff>366903</xdr:colOff>
      <xdr:row>3</xdr:row>
      <xdr:rowOff>130097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7C73E6E0-4DAE-70D6-7A42-36C482D7AC0D}"/>
            </a:ext>
          </a:extLst>
        </xdr:cNvPr>
        <xdr:cNvSpPr/>
      </xdr:nvSpPr>
      <xdr:spPr>
        <a:xfrm>
          <a:off x="12462009" y="250902"/>
          <a:ext cx="1397870" cy="436756"/>
        </a:xfrm>
        <a:prstGeom prst="roundRect">
          <a:avLst>
            <a:gd name="adj" fmla="val 5000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606844</xdr:colOff>
      <xdr:row>1</xdr:row>
      <xdr:rowOff>164343</xdr:rowOff>
    </xdr:from>
    <xdr:to>
      <xdr:col>22</xdr:col>
      <xdr:colOff>349990</xdr:colOff>
      <xdr:row>2</xdr:row>
      <xdr:rowOff>172907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9869992-EC48-4443-6765-72B62D812210}"/>
            </a:ext>
          </a:extLst>
        </xdr:cNvPr>
        <xdr:cNvSpPr txBox="1"/>
      </xdr:nvSpPr>
      <xdr:spPr>
        <a:xfrm>
          <a:off x="12873185" y="350197"/>
          <a:ext cx="969781" cy="194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         My</a:t>
          </a:r>
          <a:r>
            <a:rPr lang="en-US" sz="800" b="1">
              <a:solidFill>
                <a:schemeClr val="bg1"/>
              </a:solidFill>
            </a:rPr>
            <a:t> </a:t>
          </a:r>
          <a:r>
            <a:rPr lang="en-US" sz="800" b="1">
              <a:solidFill>
                <a:srgbClr val="000000"/>
              </a:solidFill>
            </a:rPr>
            <a:t>Profile</a:t>
          </a:r>
        </a:p>
      </xdr:txBody>
    </xdr:sp>
    <xdr:clientData/>
  </xdr:twoCellAnchor>
  <xdr:twoCellAnchor>
    <xdr:from>
      <xdr:col>20</xdr:col>
      <xdr:colOff>177812</xdr:colOff>
      <xdr:row>1</xdr:row>
      <xdr:rowOff>46463</xdr:rowOff>
    </xdr:from>
    <xdr:to>
      <xdr:col>21</xdr:col>
      <xdr:colOff>306658</xdr:colOff>
      <xdr:row>3</xdr:row>
      <xdr:rowOff>130098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865EAB16-51EA-47F3-AB50-854724A41000}"/>
            </a:ext>
          </a:extLst>
        </xdr:cNvPr>
        <xdr:cNvSpPr/>
      </xdr:nvSpPr>
      <xdr:spPr>
        <a:xfrm>
          <a:off x="12444153" y="232317"/>
          <a:ext cx="742164" cy="455342"/>
        </a:xfrm>
        <a:prstGeom prst="roundRect">
          <a:avLst>
            <a:gd name="adj" fmla="val 50000"/>
          </a:avLst>
        </a:prstGeom>
        <a:solidFill>
          <a:srgbClr val="1D1E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oneCell">
    <xdr:from>
      <xdr:col>20</xdr:col>
      <xdr:colOff>305378</xdr:colOff>
      <xdr:row>1</xdr:row>
      <xdr:rowOff>129365</xdr:rowOff>
    </xdr:from>
    <xdr:to>
      <xdr:col>20</xdr:col>
      <xdr:colOff>534010</xdr:colOff>
      <xdr:row>2</xdr:row>
      <xdr:rowOff>173779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1F9D78C-E76D-843C-BCDA-1123764BE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1719" y="315219"/>
          <a:ext cx="228632" cy="23026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595358</xdr:colOff>
      <xdr:row>1</xdr:row>
      <xdr:rowOff>156513</xdr:rowOff>
    </xdr:from>
    <xdr:to>
      <xdr:col>21</xdr:col>
      <xdr:colOff>184391</xdr:colOff>
      <xdr:row>2</xdr:row>
      <xdr:rowOff>169830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4906670-1660-29D6-5408-80B9459AF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1699" y="342367"/>
          <a:ext cx="202351" cy="199170"/>
        </a:xfrm>
        <a:prstGeom prst="rect">
          <a:avLst/>
        </a:prstGeom>
      </xdr:spPr>
    </xdr:pic>
    <xdr:clientData/>
  </xdr:twoCellAnchor>
  <xdr:twoCellAnchor>
    <xdr:from>
      <xdr:col>3</xdr:col>
      <xdr:colOff>83737</xdr:colOff>
      <xdr:row>6</xdr:row>
      <xdr:rowOff>58615</xdr:rowOff>
    </xdr:from>
    <xdr:to>
      <xdr:col>3</xdr:col>
      <xdr:colOff>485671</xdr:colOff>
      <xdr:row>8</xdr:row>
      <xdr:rowOff>133978</xdr:rowOff>
    </xdr:to>
    <xdr:sp macro="" textlink="">
      <xdr:nvSpPr>
        <xdr:cNvPr id="63" name="Oval 6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2626ACF-F998-453E-984F-4EE82C72B0A2}"/>
            </a:ext>
          </a:extLst>
        </xdr:cNvPr>
        <xdr:cNvSpPr/>
      </xdr:nvSpPr>
      <xdr:spPr>
        <a:xfrm>
          <a:off x="1917561" y="1163934"/>
          <a:ext cx="401934" cy="44380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148890</xdr:colOff>
      <xdr:row>6</xdr:row>
      <xdr:rowOff>139598</xdr:rowOff>
    </xdr:from>
    <xdr:to>
      <xdr:col>3</xdr:col>
      <xdr:colOff>405174</xdr:colOff>
      <xdr:row>8</xdr:row>
      <xdr:rowOff>27879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BD417379-EABB-052D-AC6E-A5796B898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841" y="1254720"/>
          <a:ext cx="256284" cy="259988"/>
        </a:xfrm>
        <a:prstGeom prst="rect">
          <a:avLst/>
        </a:prstGeom>
      </xdr:spPr>
    </xdr:pic>
    <xdr:clientData/>
  </xdr:twoCellAnchor>
  <xdr:twoCellAnchor>
    <xdr:from>
      <xdr:col>13</xdr:col>
      <xdr:colOff>237017</xdr:colOff>
      <xdr:row>5</xdr:row>
      <xdr:rowOff>27648</xdr:rowOff>
    </xdr:from>
    <xdr:to>
      <xdr:col>18</xdr:col>
      <xdr:colOff>412862</xdr:colOff>
      <xdr:row>6</xdr:row>
      <xdr:rowOff>180006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9A7011B-7805-4C30-9591-52706026F2D9}"/>
            </a:ext>
          </a:extLst>
        </xdr:cNvPr>
        <xdr:cNvSpPr txBox="1"/>
      </xdr:nvSpPr>
      <xdr:spPr>
        <a:xfrm>
          <a:off x="8210139" y="956916"/>
          <a:ext cx="3242430" cy="33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bg1"/>
              </a:solidFill>
            </a:rPr>
            <a:t>Exercise</a:t>
          </a:r>
          <a:r>
            <a:rPr lang="en-US" sz="1100" b="0" baseline="0">
              <a:solidFill>
                <a:schemeClr val="bg1"/>
              </a:solidFill>
            </a:rPr>
            <a:t> Trend, by Duration and Calories Burned</a:t>
          </a:r>
          <a:endParaRPr lang="en-US" sz="11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92105</xdr:colOff>
      <xdr:row>31</xdr:row>
      <xdr:rowOff>67010</xdr:rowOff>
    </xdr:from>
    <xdr:to>
      <xdr:col>3</xdr:col>
      <xdr:colOff>457865</xdr:colOff>
      <xdr:row>33</xdr:row>
      <xdr:rowOff>64330</xdr:rowOff>
    </xdr:to>
    <xdr:pic>
      <xdr:nvPicPr>
        <xdr:cNvPr id="81" name="Graphic 80" descr="Power">
          <a:extLst>
            <a:ext uri="{FF2B5EF4-FFF2-40B4-BE49-F238E27FC236}">
              <a16:creationId xmlns:a16="http://schemas.microsoft.com/office/drawing/2014/main" id="{8914E6E3-99C5-DE61-8C52-7BA071F58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925929" y="5777823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8</xdr:col>
      <xdr:colOff>338667</xdr:colOff>
      <xdr:row>0</xdr:row>
      <xdr:rowOff>177029</xdr:rowOff>
    </xdr:from>
    <xdr:to>
      <xdr:col>16</xdr:col>
      <xdr:colOff>392545</xdr:colOff>
      <xdr:row>4</xdr:row>
      <xdr:rowOff>111111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4" name="Date">
              <a:extLst>
                <a:ext uri="{FF2B5EF4-FFF2-40B4-BE49-F238E27FC236}">
                  <a16:creationId xmlns:a16="http://schemas.microsoft.com/office/drawing/2014/main" id="{59F2D3F2-A0C2-4397-8492-BF9317E693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3152" y="177029"/>
              <a:ext cx="4918363" cy="672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111512</xdr:colOff>
      <xdr:row>10</xdr:row>
      <xdr:rowOff>37170</xdr:rowOff>
    </xdr:from>
    <xdr:to>
      <xdr:col>3</xdr:col>
      <xdr:colOff>532109</xdr:colOff>
      <xdr:row>12</xdr:row>
      <xdr:rowOff>18586</xdr:rowOff>
    </xdr:to>
    <xdr:pic>
      <xdr:nvPicPr>
        <xdr:cNvPr id="112" name="Picture 11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1C2BEE8-86A2-A044-7208-972A1F4C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463" y="1895707"/>
          <a:ext cx="420597" cy="353123"/>
        </a:xfrm>
        <a:prstGeom prst="rect">
          <a:avLst/>
        </a:prstGeom>
      </xdr:spPr>
    </xdr:pic>
    <xdr:clientData/>
  </xdr:twoCellAnchor>
  <xdr:twoCellAnchor>
    <xdr:from>
      <xdr:col>20</xdr:col>
      <xdr:colOff>102220</xdr:colOff>
      <xdr:row>0</xdr:row>
      <xdr:rowOff>167269</xdr:rowOff>
    </xdr:from>
    <xdr:to>
      <xdr:col>22</xdr:col>
      <xdr:colOff>464634</xdr:colOff>
      <xdr:row>4</xdr:row>
      <xdr:rowOff>18586</xdr:rowOff>
    </xdr:to>
    <xdr:sp macro="" textlink="">
      <xdr:nvSpPr>
        <xdr:cNvPr id="113" name="TextBox 11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9E563AE-3CF3-7BC8-2231-6927CA8EE5C7}"/>
            </a:ext>
          </a:extLst>
        </xdr:cNvPr>
        <xdr:cNvSpPr txBox="1"/>
      </xdr:nvSpPr>
      <xdr:spPr>
        <a:xfrm>
          <a:off x="12368561" y="167269"/>
          <a:ext cx="1589049" cy="594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3</xdr:col>
      <xdr:colOff>18586</xdr:colOff>
      <xdr:row>12</xdr:row>
      <xdr:rowOff>111513</xdr:rowOff>
    </xdr:from>
    <xdr:to>
      <xdr:col>3</xdr:col>
      <xdr:colOff>542794</xdr:colOff>
      <xdr:row>17</xdr:row>
      <xdr:rowOff>120805</xdr:rowOff>
    </xdr:to>
    <xdr:pic>
      <xdr:nvPicPr>
        <xdr:cNvPr id="121" name="Picture 12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9D104D7-7D1E-341D-0795-06FA8E7AB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8537" y="2341757"/>
          <a:ext cx="524208" cy="93856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00347224" backgroundQuery="1" createdVersion="8" refreshedVersion="8" minRefreshableVersion="3" recordCount="0" supportSubquery="1" supportAdvancedDrill="1" xr:uid="{3206BB29-3A9F-4043-B300-E5E37EB3FCA1}">
  <cacheSource type="external" connectionId="1"/>
  <cacheFields count="4">
    <cacheField name="[Measures].[Current weight]" caption="Current weight" numFmtId="0" hierarchy="28" level="32767"/>
    <cacheField name="[Measures].[Weight Target]" caption="Weight Target" numFmtId="0" hierarchy="29" level="32767"/>
    <cacheField name="[Table1].[Date].[Date]" caption="Date" numFmtId="0" level="1">
      <sharedItems containsSemiMixedTypes="0" containsNonDate="0" containsDate="1" containsString="0" minDate="2025-01-01T00:00:00" maxDate="2025-11-01T00:00:00" count="30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</sharedItems>
      <extLst>
        <ext xmlns:x15="http://schemas.microsoft.com/office/spreadsheetml/2010/11/main" uri="{4F2E5C28-24EA-4eb8-9CBF-B6C8F9C3D259}">
          <x15:cachedUniqueNames>
            <x15:cachedUniqueName index="0" name="[Table1].[Date].&amp;[2025-01-01T00:00:00]"/>
            <x15:cachedUniqueName index="1" name="[Table1].[Date].&amp;[2025-01-02T00:00:00]"/>
            <x15:cachedUniqueName index="2" name="[Table1].[Date].&amp;[2025-01-03T00:00:00]"/>
            <x15:cachedUniqueName index="3" name="[Table1].[Date].&amp;[2025-01-04T00:00:00]"/>
            <x15:cachedUniqueName index="4" name="[Table1].[Date].&amp;[2025-01-05T00:00:00]"/>
            <x15:cachedUniqueName index="5" name="[Table1].[Date].&amp;[2025-01-06T00:00:00]"/>
            <x15:cachedUniqueName index="6" name="[Table1].[Date].&amp;[2025-01-07T00:00:00]"/>
            <x15:cachedUniqueName index="7" name="[Table1].[Date].&amp;[2025-01-08T00:00:00]"/>
            <x15:cachedUniqueName index="8" name="[Table1].[Date].&amp;[2025-01-09T00:00:00]"/>
            <x15:cachedUniqueName index="9" name="[Table1].[Date].&amp;[2025-01-10T00:00:00]"/>
            <x15:cachedUniqueName index="10" name="[Table1].[Date].&amp;[2025-01-11T00:00:00]"/>
            <x15:cachedUniqueName index="11" name="[Table1].[Date].&amp;[2025-01-12T00:00:00]"/>
            <x15:cachedUniqueName index="12" name="[Table1].[Date].&amp;[2025-01-13T00:00:00]"/>
            <x15:cachedUniqueName index="13" name="[Table1].[Date].&amp;[2025-01-14T00:00:00]"/>
            <x15:cachedUniqueName index="14" name="[Table1].[Date].&amp;[2025-01-15T00:00:00]"/>
            <x15:cachedUniqueName index="15" name="[Table1].[Date].&amp;[2025-01-16T00:00:00]"/>
            <x15:cachedUniqueName index="16" name="[Table1].[Date].&amp;[2025-01-17T00:00:00]"/>
            <x15:cachedUniqueName index="17" name="[Table1].[Date].&amp;[2025-01-18T00:00:00]"/>
            <x15:cachedUniqueName index="18" name="[Table1].[Date].&amp;[2025-01-19T00:00:00]"/>
            <x15:cachedUniqueName index="19" name="[Table1].[Date].&amp;[2025-01-20T00:00:00]"/>
            <x15:cachedUniqueName index="20" name="[Table1].[Date].&amp;[2025-01-21T00:00:00]"/>
            <x15:cachedUniqueName index="21" name="[Table1].[Date].&amp;[2025-01-22T00:00:00]"/>
            <x15:cachedUniqueName index="22" name="[Table1].[Date].&amp;[2025-01-23T00:00:00]"/>
            <x15:cachedUniqueName index="23" name="[Table1].[Date].&amp;[2025-01-24T00:00:00]"/>
            <x15:cachedUniqueName index="24" name="[Table1].[Date].&amp;[2025-01-25T00:00:00]"/>
            <x15:cachedUniqueName index="25" name="[Table1].[Date].&amp;[2025-01-26T00:00:00]"/>
            <x15:cachedUniqueName index="26" name="[Table1].[Date].&amp;[2025-01-27T00:00:00]"/>
            <x15:cachedUniqueName index="27" name="[Table1].[Date].&amp;[2025-01-28T00:00:00]"/>
            <x15:cachedUniqueName index="28" name="[Table1].[Date].&amp;[2025-01-29T00:00:00]"/>
            <x15:cachedUniqueName index="29" name="[Table1].[Date].&amp;[2025-01-30T00:00:00]"/>
            <x15:cachedUniqueName index="30" name="[Table1].[Date].&amp;[2025-01-31T00:00:00]"/>
            <x15:cachedUniqueName index="31" name="[Table1].[Date].&amp;[2025-02-01T00:00:00]"/>
            <x15:cachedUniqueName index="32" name="[Table1].[Date].&amp;[2025-02-02T00:00:00]"/>
            <x15:cachedUniqueName index="33" name="[Table1].[Date].&amp;[2025-02-03T00:00:00]"/>
            <x15:cachedUniqueName index="34" name="[Table1].[Date].&amp;[2025-02-04T00:00:00]"/>
            <x15:cachedUniqueName index="35" name="[Table1].[Date].&amp;[2025-02-05T00:00:00]"/>
            <x15:cachedUniqueName index="36" name="[Table1].[Date].&amp;[2025-02-06T00:00:00]"/>
            <x15:cachedUniqueName index="37" name="[Table1].[Date].&amp;[2025-02-07T00:00:00]"/>
            <x15:cachedUniqueName index="38" name="[Table1].[Date].&amp;[2025-02-08T00:00:00]"/>
            <x15:cachedUniqueName index="39" name="[Table1].[Date].&amp;[2025-02-09T00:00:00]"/>
            <x15:cachedUniqueName index="40" name="[Table1].[Date].&amp;[2025-02-10T00:00:00]"/>
            <x15:cachedUniqueName index="41" name="[Table1].[Date].&amp;[2025-02-11T00:00:00]"/>
            <x15:cachedUniqueName index="42" name="[Table1].[Date].&amp;[2025-02-12T00:00:00]"/>
            <x15:cachedUniqueName index="43" name="[Table1].[Date].&amp;[2025-02-13T00:00:00]"/>
            <x15:cachedUniqueName index="44" name="[Table1].[Date].&amp;[2025-02-14T00:00:00]"/>
            <x15:cachedUniqueName index="45" name="[Table1].[Date].&amp;[2025-02-15T00:00:00]"/>
            <x15:cachedUniqueName index="46" name="[Table1].[Date].&amp;[2025-02-16T00:00:00]"/>
            <x15:cachedUniqueName index="47" name="[Table1].[Date].&amp;[2025-02-17T00:00:00]"/>
            <x15:cachedUniqueName index="48" name="[Table1].[Date].&amp;[2025-02-18T00:00:00]"/>
            <x15:cachedUniqueName index="49" name="[Table1].[Date].&amp;[2025-02-19T00:00:00]"/>
            <x15:cachedUniqueName index="50" name="[Table1].[Date].&amp;[2025-02-20T00:00:00]"/>
            <x15:cachedUniqueName index="51" name="[Table1].[Date].&amp;[2025-02-21T00:00:00]"/>
            <x15:cachedUniqueName index="52" name="[Table1].[Date].&amp;[2025-02-22T00:00:00]"/>
            <x15:cachedUniqueName index="53" name="[Table1].[Date].&amp;[2025-02-23T00:00:00]"/>
            <x15:cachedUniqueName index="54" name="[Table1].[Date].&amp;[2025-02-24T00:00:00]"/>
            <x15:cachedUniqueName index="55" name="[Table1].[Date].&amp;[2025-02-25T00:00:00]"/>
            <x15:cachedUniqueName index="56" name="[Table1].[Date].&amp;[2025-02-26T00:00:00]"/>
            <x15:cachedUniqueName index="57" name="[Table1].[Date].&amp;[2025-02-27T00:00:00]"/>
            <x15:cachedUniqueName index="58" name="[Table1].[Date].&amp;[2025-02-28T00:00:00]"/>
            <x15:cachedUniqueName index="59" name="[Table1].[Date].&amp;[2025-03-01T00:00:00]"/>
            <x15:cachedUniqueName index="60" name="[Table1].[Date].&amp;[2025-03-02T00:00:00]"/>
            <x15:cachedUniqueName index="61" name="[Table1].[Date].&amp;[2025-03-03T00:00:00]"/>
            <x15:cachedUniqueName index="62" name="[Table1].[Date].&amp;[2025-03-04T00:00:00]"/>
            <x15:cachedUniqueName index="63" name="[Table1].[Date].&amp;[2025-03-05T00:00:00]"/>
            <x15:cachedUniqueName index="64" name="[Table1].[Date].&amp;[2025-03-06T00:00:00]"/>
            <x15:cachedUniqueName index="65" name="[Table1].[Date].&amp;[2025-03-07T00:00:00]"/>
            <x15:cachedUniqueName index="66" name="[Table1].[Date].&amp;[2025-03-08T00:00:00]"/>
            <x15:cachedUniqueName index="67" name="[Table1].[Date].&amp;[2025-03-09T00:00:00]"/>
            <x15:cachedUniqueName index="68" name="[Table1].[Date].&amp;[2025-03-10T00:00:00]"/>
            <x15:cachedUniqueName index="69" name="[Table1].[Date].&amp;[2025-03-11T00:00:00]"/>
            <x15:cachedUniqueName index="70" name="[Table1].[Date].&amp;[2025-03-12T00:00:00]"/>
            <x15:cachedUniqueName index="71" name="[Table1].[Date].&amp;[2025-03-13T00:00:00]"/>
            <x15:cachedUniqueName index="72" name="[Table1].[Date].&amp;[2025-03-14T00:00:00]"/>
            <x15:cachedUniqueName index="73" name="[Table1].[Date].&amp;[2025-03-15T00:00:00]"/>
            <x15:cachedUniqueName index="74" name="[Table1].[Date].&amp;[2025-03-16T00:00:00]"/>
            <x15:cachedUniqueName index="75" name="[Table1].[Date].&amp;[2025-03-17T00:00:00]"/>
            <x15:cachedUniqueName index="76" name="[Table1].[Date].&amp;[2025-03-18T00:00:00]"/>
            <x15:cachedUniqueName index="77" name="[Table1].[Date].&amp;[2025-03-19T00:00:00]"/>
            <x15:cachedUniqueName index="78" name="[Table1].[Date].&amp;[2025-03-20T00:00:00]"/>
            <x15:cachedUniqueName index="79" name="[Table1].[Date].&amp;[2025-03-21T00:00:00]"/>
            <x15:cachedUniqueName index="80" name="[Table1].[Date].&amp;[2025-03-22T00:00:00]"/>
            <x15:cachedUniqueName index="81" name="[Table1].[Date].&amp;[2025-03-23T00:00:00]"/>
            <x15:cachedUniqueName index="82" name="[Table1].[Date].&amp;[2025-03-24T00:00:00]"/>
            <x15:cachedUniqueName index="83" name="[Table1].[Date].&amp;[2025-03-25T00:00:00]"/>
            <x15:cachedUniqueName index="84" name="[Table1].[Date].&amp;[2025-03-26T00:00:00]"/>
            <x15:cachedUniqueName index="85" name="[Table1].[Date].&amp;[2025-03-27T00:00:00]"/>
            <x15:cachedUniqueName index="86" name="[Table1].[Date].&amp;[2025-03-28T00:00:00]"/>
            <x15:cachedUniqueName index="87" name="[Table1].[Date].&amp;[2025-03-29T00:00:00]"/>
            <x15:cachedUniqueName index="88" name="[Table1].[Date].&amp;[2025-03-30T00:00:00]"/>
            <x15:cachedUniqueName index="89" name="[Table1].[Date].&amp;[2025-03-31T00:00:00]"/>
            <x15:cachedUniqueName index="90" name="[Table1].[Date].&amp;[2025-04-01T00:00:00]"/>
            <x15:cachedUniqueName index="91" name="[Table1].[Date].&amp;[2025-04-02T00:00:00]"/>
            <x15:cachedUniqueName index="92" name="[Table1].[Date].&amp;[2025-04-03T00:00:00]"/>
            <x15:cachedUniqueName index="93" name="[Table1].[Date].&amp;[2025-04-04T00:00:00]"/>
            <x15:cachedUniqueName index="94" name="[Table1].[Date].&amp;[2025-04-05T00:00:00]"/>
            <x15:cachedUniqueName index="95" name="[Table1].[Date].&amp;[2025-04-06T00:00:00]"/>
            <x15:cachedUniqueName index="96" name="[Table1].[Date].&amp;[2025-04-07T00:00:00]"/>
            <x15:cachedUniqueName index="97" name="[Table1].[Date].&amp;[2025-04-08T00:00:00]"/>
            <x15:cachedUniqueName index="98" name="[Table1].[Date].&amp;[2025-04-09T00:00:00]"/>
            <x15:cachedUniqueName index="99" name="[Table1].[Date].&amp;[2025-04-10T00:00:00]"/>
            <x15:cachedUniqueName index="100" name="[Table1].[Date].&amp;[2025-04-11T00:00:00]"/>
            <x15:cachedUniqueName index="101" name="[Table1].[Date].&amp;[2025-04-12T00:00:00]"/>
            <x15:cachedUniqueName index="102" name="[Table1].[Date].&amp;[2025-04-13T00:00:00]"/>
            <x15:cachedUniqueName index="103" name="[Table1].[Date].&amp;[2025-04-14T00:00:00]"/>
            <x15:cachedUniqueName index="104" name="[Table1].[Date].&amp;[2025-04-15T00:00:00]"/>
            <x15:cachedUniqueName index="105" name="[Table1].[Date].&amp;[2025-04-16T00:00:00]"/>
            <x15:cachedUniqueName index="106" name="[Table1].[Date].&amp;[2025-04-17T00:00:00]"/>
            <x15:cachedUniqueName index="107" name="[Table1].[Date].&amp;[2025-04-18T00:00:00]"/>
            <x15:cachedUniqueName index="108" name="[Table1].[Date].&amp;[2025-04-19T00:00:00]"/>
            <x15:cachedUniqueName index="109" name="[Table1].[Date].&amp;[2025-04-20T00:00:00]"/>
            <x15:cachedUniqueName index="110" name="[Table1].[Date].&amp;[2025-04-21T00:00:00]"/>
            <x15:cachedUniqueName index="111" name="[Table1].[Date].&amp;[2025-04-22T00:00:00]"/>
            <x15:cachedUniqueName index="112" name="[Table1].[Date].&amp;[2025-04-23T00:00:00]"/>
            <x15:cachedUniqueName index="113" name="[Table1].[Date].&amp;[2025-04-24T00:00:00]"/>
            <x15:cachedUniqueName index="114" name="[Table1].[Date].&amp;[2025-04-25T00:00:00]"/>
            <x15:cachedUniqueName index="115" name="[Table1].[Date].&amp;[2025-04-26T00:00:00]"/>
            <x15:cachedUniqueName index="116" name="[Table1].[Date].&amp;[2025-04-27T00:00:00]"/>
            <x15:cachedUniqueName index="117" name="[Table1].[Date].&amp;[2025-04-28T00:00:00]"/>
            <x15:cachedUniqueName index="118" name="[Table1].[Date].&amp;[2025-04-29T00:00:00]"/>
            <x15:cachedUniqueName index="119" name="[Table1].[Date].&amp;[2025-04-30T00:00:00]"/>
            <x15:cachedUniqueName index="120" name="[Table1].[Date].&amp;[2025-05-01T00:00:00]"/>
            <x15:cachedUniqueName index="121" name="[Table1].[Date].&amp;[2025-05-02T00:00:00]"/>
            <x15:cachedUniqueName index="122" name="[Table1].[Date].&amp;[2025-05-03T00:00:00]"/>
            <x15:cachedUniqueName index="123" name="[Table1].[Date].&amp;[2025-05-04T00:00:00]"/>
            <x15:cachedUniqueName index="124" name="[Table1].[Date].&amp;[2025-05-05T00:00:00]"/>
            <x15:cachedUniqueName index="125" name="[Table1].[Date].&amp;[2025-05-06T00:00:00]"/>
            <x15:cachedUniqueName index="126" name="[Table1].[Date].&amp;[2025-05-07T00:00:00]"/>
            <x15:cachedUniqueName index="127" name="[Table1].[Date].&amp;[2025-05-08T00:00:00]"/>
            <x15:cachedUniqueName index="128" name="[Table1].[Date].&amp;[2025-05-09T00:00:00]"/>
            <x15:cachedUniqueName index="129" name="[Table1].[Date].&amp;[2025-05-10T00:00:00]"/>
            <x15:cachedUniqueName index="130" name="[Table1].[Date].&amp;[2025-05-11T00:00:00]"/>
            <x15:cachedUniqueName index="131" name="[Table1].[Date].&amp;[2025-05-12T00:00:00]"/>
            <x15:cachedUniqueName index="132" name="[Table1].[Date].&amp;[2025-05-13T00:00:00]"/>
            <x15:cachedUniqueName index="133" name="[Table1].[Date].&amp;[2025-05-14T00:00:00]"/>
            <x15:cachedUniqueName index="134" name="[Table1].[Date].&amp;[2025-05-15T00:00:00]"/>
            <x15:cachedUniqueName index="135" name="[Table1].[Date].&amp;[2025-05-16T00:00:00]"/>
            <x15:cachedUniqueName index="136" name="[Table1].[Date].&amp;[2025-05-17T00:00:00]"/>
            <x15:cachedUniqueName index="137" name="[Table1].[Date].&amp;[2025-05-18T00:00:00]"/>
            <x15:cachedUniqueName index="138" name="[Table1].[Date].&amp;[2025-05-19T00:00:00]"/>
            <x15:cachedUniqueName index="139" name="[Table1].[Date].&amp;[2025-05-20T00:00:00]"/>
            <x15:cachedUniqueName index="140" name="[Table1].[Date].&amp;[2025-05-21T00:00:00]"/>
            <x15:cachedUniqueName index="141" name="[Table1].[Date].&amp;[2025-05-22T00:00:00]"/>
            <x15:cachedUniqueName index="142" name="[Table1].[Date].&amp;[2025-05-23T00:00:00]"/>
            <x15:cachedUniqueName index="143" name="[Table1].[Date].&amp;[2025-05-24T00:00:00]"/>
            <x15:cachedUniqueName index="144" name="[Table1].[Date].&amp;[2025-05-25T00:00:00]"/>
            <x15:cachedUniqueName index="145" name="[Table1].[Date].&amp;[2025-05-26T00:00:00]"/>
            <x15:cachedUniqueName index="146" name="[Table1].[Date].&amp;[2025-05-27T00:00:00]"/>
            <x15:cachedUniqueName index="147" name="[Table1].[Date].&amp;[2025-05-28T00:00:00]"/>
            <x15:cachedUniqueName index="148" name="[Table1].[Date].&amp;[2025-05-29T00:00:00]"/>
            <x15:cachedUniqueName index="149" name="[Table1].[Date].&amp;[2025-05-30T00:00:00]"/>
            <x15:cachedUniqueName index="150" name="[Table1].[Date].&amp;[2025-05-31T00:00:00]"/>
            <x15:cachedUniqueName index="151" name="[Table1].[Date].&amp;[2025-06-01T00:00:00]"/>
            <x15:cachedUniqueName index="152" name="[Table1].[Date].&amp;[2025-06-02T00:00:00]"/>
            <x15:cachedUniqueName index="153" name="[Table1].[Date].&amp;[2025-06-03T00:00:00]"/>
            <x15:cachedUniqueName index="154" name="[Table1].[Date].&amp;[2025-06-04T00:00:00]"/>
            <x15:cachedUniqueName index="155" name="[Table1].[Date].&amp;[2025-06-05T00:00:00]"/>
            <x15:cachedUniqueName index="156" name="[Table1].[Date].&amp;[2025-06-06T00:00:00]"/>
            <x15:cachedUniqueName index="157" name="[Table1].[Date].&amp;[2025-06-07T00:00:00]"/>
            <x15:cachedUniqueName index="158" name="[Table1].[Date].&amp;[2025-06-08T00:00:00]"/>
            <x15:cachedUniqueName index="159" name="[Table1].[Date].&amp;[2025-06-09T00:00:00]"/>
            <x15:cachedUniqueName index="160" name="[Table1].[Date].&amp;[2025-06-10T00:00:00]"/>
            <x15:cachedUniqueName index="161" name="[Table1].[Date].&amp;[2025-06-11T00:00:00]"/>
            <x15:cachedUniqueName index="162" name="[Table1].[Date].&amp;[2025-06-12T00:00:00]"/>
            <x15:cachedUniqueName index="163" name="[Table1].[Date].&amp;[2025-06-13T00:00:00]"/>
            <x15:cachedUniqueName index="164" name="[Table1].[Date].&amp;[2025-06-14T00:00:00]"/>
            <x15:cachedUniqueName index="165" name="[Table1].[Date].&amp;[2025-06-15T00:00:00]"/>
            <x15:cachedUniqueName index="166" name="[Table1].[Date].&amp;[2025-06-16T00:00:00]"/>
            <x15:cachedUniqueName index="167" name="[Table1].[Date].&amp;[2025-06-17T00:00:00]"/>
            <x15:cachedUniqueName index="168" name="[Table1].[Date].&amp;[2025-06-18T00:00:00]"/>
            <x15:cachedUniqueName index="169" name="[Table1].[Date].&amp;[2025-06-19T00:00:00]"/>
            <x15:cachedUniqueName index="170" name="[Table1].[Date].&amp;[2025-06-20T00:00:00]"/>
            <x15:cachedUniqueName index="171" name="[Table1].[Date].&amp;[2025-06-21T00:00:00]"/>
            <x15:cachedUniqueName index="172" name="[Table1].[Date].&amp;[2025-06-22T00:00:00]"/>
            <x15:cachedUniqueName index="173" name="[Table1].[Date].&amp;[2025-06-23T00:00:00]"/>
            <x15:cachedUniqueName index="174" name="[Table1].[Date].&amp;[2025-06-24T00:00:00]"/>
            <x15:cachedUniqueName index="175" name="[Table1].[Date].&amp;[2025-06-25T00:00:00]"/>
            <x15:cachedUniqueName index="176" name="[Table1].[Date].&amp;[2025-06-26T00:00:00]"/>
            <x15:cachedUniqueName index="177" name="[Table1].[Date].&amp;[2025-06-27T00:00:00]"/>
            <x15:cachedUniqueName index="178" name="[Table1].[Date].&amp;[2025-06-28T00:00:00]"/>
            <x15:cachedUniqueName index="179" name="[Table1].[Date].&amp;[2025-06-29T00:00:00]"/>
            <x15:cachedUniqueName index="180" name="[Table1].[Date].&amp;[2025-06-30T00:00:00]"/>
            <x15:cachedUniqueName index="181" name="[Table1].[Date].&amp;[2025-07-01T00:00:00]"/>
            <x15:cachedUniqueName index="182" name="[Table1].[Date].&amp;[2025-07-02T00:00:00]"/>
            <x15:cachedUniqueName index="183" name="[Table1].[Date].&amp;[2025-07-03T00:00:00]"/>
            <x15:cachedUniqueName index="184" name="[Table1].[Date].&amp;[2025-07-04T00:00:00]"/>
            <x15:cachedUniqueName index="185" name="[Table1].[Date].&amp;[2025-07-05T00:00:00]"/>
            <x15:cachedUniqueName index="186" name="[Table1].[Date].&amp;[2025-07-06T00:00:00]"/>
            <x15:cachedUniqueName index="187" name="[Table1].[Date].&amp;[2025-07-07T00:00:00]"/>
            <x15:cachedUniqueName index="188" name="[Table1].[Date].&amp;[2025-07-08T00:00:00]"/>
            <x15:cachedUniqueName index="189" name="[Table1].[Date].&amp;[2025-07-09T00:00:00]"/>
            <x15:cachedUniqueName index="190" name="[Table1].[Date].&amp;[2025-07-10T00:00:00]"/>
            <x15:cachedUniqueName index="191" name="[Table1].[Date].&amp;[2025-07-11T00:00:00]"/>
            <x15:cachedUniqueName index="192" name="[Table1].[Date].&amp;[2025-07-12T00:00:00]"/>
            <x15:cachedUniqueName index="193" name="[Table1].[Date].&amp;[2025-07-13T00:00:00]"/>
            <x15:cachedUniqueName index="194" name="[Table1].[Date].&amp;[2025-07-14T00:00:00]"/>
            <x15:cachedUniqueName index="195" name="[Table1].[Date].&amp;[2025-07-15T00:00:00]"/>
            <x15:cachedUniqueName index="196" name="[Table1].[Date].&amp;[2025-07-16T00:00:00]"/>
            <x15:cachedUniqueName index="197" name="[Table1].[Date].&amp;[2025-07-17T00:00:00]"/>
            <x15:cachedUniqueName index="198" name="[Table1].[Date].&amp;[2025-07-18T00:00:00]"/>
            <x15:cachedUniqueName index="199" name="[Table1].[Date].&amp;[2025-07-19T00:00:00]"/>
            <x15:cachedUniqueName index="200" name="[Table1].[Date].&amp;[2025-07-20T00:00:00]"/>
            <x15:cachedUniqueName index="201" name="[Table1].[Date].&amp;[2025-07-21T00:00:00]"/>
            <x15:cachedUniqueName index="202" name="[Table1].[Date].&amp;[2025-07-22T00:00:00]"/>
            <x15:cachedUniqueName index="203" name="[Table1].[Date].&amp;[2025-07-23T00:00:00]"/>
            <x15:cachedUniqueName index="204" name="[Table1].[Date].&amp;[2025-07-24T00:00:00]"/>
            <x15:cachedUniqueName index="205" name="[Table1].[Date].&amp;[2025-07-25T00:00:00]"/>
            <x15:cachedUniqueName index="206" name="[Table1].[Date].&amp;[2025-07-26T00:00:00]"/>
            <x15:cachedUniqueName index="207" name="[Table1].[Date].&amp;[2025-07-27T00:00:00]"/>
            <x15:cachedUniqueName index="208" name="[Table1].[Date].&amp;[2025-07-28T00:00:00]"/>
            <x15:cachedUniqueName index="209" name="[Table1].[Date].&amp;[2025-07-29T00:00:00]"/>
            <x15:cachedUniqueName index="210" name="[Table1].[Date].&amp;[2025-07-30T00:00:00]"/>
            <x15:cachedUniqueName index="211" name="[Table1].[Date].&amp;[2025-07-31T00:00:00]"/>
            <x15:cachedUniqueName index="212" name="[Table1].[Date].&amp;[2025-08-01T00:00:00]"/>
            <x15:cachedUniqueName index="213" name="[Table1].[Date].&amp;[2025-08-02T00:00:00]"/>
            <x15:cachedUniqueName index="214" name="[Table1].[Date].&amp;[2025-08-03T00:00:00]"/>
            <x15:cachedUniqueName index="215" name="[Table1].[Date].&amp;[2025-08-04T00:00:00]"/>
            <x15:cachedUniqueName index="216" name="[Table1].[Date].&amp;[2025-08-05T00:00:00]"/>
            <x15:cachedUniqueName index="217" name="[Table1].[Date].&amp;[2025-08-06T00:00:00]"/>
            <x15:cachedUniqueName index="218" name="[Table1].[Date].&amp;[2025-08-07T00:00:00]"/>
            <x15:cachedUniqueName index="219" name="[Table1].[Date].&amp;[2025-08-08T00:00:00]"/>
            <x15:cachedUniqueName index="220" name="[Table1].[Date].&amp;[2025-08-09T00:00:00]"/>
            <x15:cachedUniqueName index="221" name="[Table1].[Date].&amp;[2025-08-10T00:00:00]"/>
            <x15:cachedUniqueName index="222" name="[Table1].[Date].&amp;[2025-08-11T00:00:00]"/>
            <x15:cachedUniqueName index="223" name="[Table1].[Date].&amp;[2025-08-12T00:00:00]"/>
            <x15:cachedUniqueName index="224" name="[Table1].[Date].&amp;[2025-08-13T00:00:00]"/>
            <x15:cachedUniqueName index="225" name="[Table1].[Date].&amp;[2025-08-14T00:00:00]"/>
            <x15:cachedUniqueName index="226" name="[Table1].[Date].&amp;[2025-08-15T00:00:00]"/>
            <x15:cachedUniqueName index="227" name="[Table1].[Date].&amp;[2025-08-16T00:00:00]"/>
            <x15:cachedUniqueName index="228" name="[Table1].[Date].&amp;[2025-08-17T00:00:00]"/>
            <x15:cachedUniqueName index="229" name="[Table1].[Date].&amp;[2025-08-18T00:00:00]"/>
            <x15:cachedUniqueName index="230" name="[Table1].[Date].&amp;[2025-08-19T00:00:00]"/>
            <x15:cachedUniqueName index="231" name="[Table1].[Date].&amp;[2025-08-20T00:00:00]"/>
            <x15:cachedUniqueName index="232" name="[Table1].[Date].&amp;[2025-08-21T00:00:00]"/>
            <x15:cachedUniqueName index="233" name="[Table1].[Date].&amp;[2025-08-22T00:00:00]"/>
            <x15:cachedUniqueName index="234" name="[Table1].[Date].&amp;[2025-08-23T00:00:00]"/>
            <x15:cachedUniqueName index="235" name="[Table1].[Date].&amp;[2025-08-24T00:00:00]"/>
            <x15:cachedUniqueName index="236" name="[Table1].[Date].&amp;[2025-08-25T00:00:00]"/>
            <x15:cachedUniqueName index="237" name="[Table1].[Date].&amp;[2025-08-26T00:00:00]"/>
            <x15:cachedUniqueName index="238" name="[Table1].[Date].&amp;[2025-08-27T00:00:00]"/>
            <x15:cachedUniqueName index="239" name="[Table1].[Date].&amp;[2025-08-28T00:00:00]"/>
            <x15:cachedUniqueName index="240" name="[Table1].[Date].&amp;[2025-08-29T00:00:00]"/>
            <x15:cachedUniqueName index="241" name="[Table1].[Date].&amp;[2025-08-30T00:00:00]"/>
            <x15:cachedUniqueName index="242" name="[Table1].[Date].&amp;[2025-08-31T00:00:00]"/>
            <x15:cachedUniqueName index="243" name="[Table1].[Date].&amp;[2025-09-01T00:00:00]"/>
            <x15:cachedUniqueName index="244" name="[Table1].[Date].&amp;[2025-09-02T00:00:00]"/>
            <x15:cachedUniqueName index="245" name="[Table1].[Date].&amp;[2025-09-03T00:00:00]"/>
            <x15:cachedUniqueName index="246" name="[Table1].[Date].&amp;[2025-09-04T00:00:00]"/>
            <x15:cachedUniqueName index="247" name="[Table1].[Date].&amp;[2025-09-05T00:00:00]"/>
            <x15:cachedUniqueName index="248" name="[Table1].[Date].&amp;[2025-09-06T00:00:00]"/>
            <x15:cachedUniqueName index="249" name="[Table1].[Date].&amp;[2025-09-07T00:00:00]"/>
            <x15:cachedUniqueName index="250" name="[Table1].[Date].&amp;[2025-09-08T00:00:00]"/>
            <x15:cachedUniqueName index="251" name="[Table1].[Date].&amp;[2025-09-09T00:00:00]"/>
            <x15:cachedUniqueName index="252" name="[Table1].[Date].&amp;[2025-09-10T00:00:00]"/>
            <x15:cachedUniqueName index="253" name="[Table1].[Date].&amp;[2025-09-11T00:00:00]"/>
            <x15:cachedUniqueName index="254" name="[Table1].[Date].&amp;[2025-09-12T00:00:00]"/>
            <x15:cachedUniqueName index="255" name="[Table1].[Date].&amp;[2025-09-13T00:00:00]"/>
            <x15:cachedUniqueName index="256" name="[Table1].[Date].&amp;[2025-09-14T00:00:00]"/>
            <x15:cachedUniqueName index="257" name="[Table1].[Date].&amp;[2025-09-15T00:00:00]"/>
            <x15:cachedUniqueName index="258" name="[Table1].[Date].&amp;[2025-09-16T00:00:00]"/>
            <x15:cachedUniqueName index="259" name="[Table1].[Date].&amp;[2025-09-17T00:00:00]"/>
            <x15:cachedUniqueName index="260" name="[Table1].[Date].&amp;[2025-09-18T00:00:00]"/>
            <x15:cachedUniqueName index="261" name="[Table1].[Date].&amp;[2025-09-19T00:00:00]"/>
            <x15:cachedUniqueName index="262" name="[Table1].[Date].&amp;[2025-09-20T00:00:00]"/>
            <x15:cachedUniqueName index="263" name="[Table1].[Date].&amp;[2025-09-21T00:00:00]"/>
            <x15:cachedUniqueName index="264" name="[Table1].[Date].&amp;[2025-09-22T00:00:00]"/>
            <x15:cachedUniqueName index="265" name="[Table1].[Date].&amp;[2025-09-23T00:00:00]"/>
            <x15:cachedUniqueName index="266" name="[Table1].[Date].&amp;[2025-09-24T00:00:00]"/>
            <x15:cachedUniqueName index="267" name="[Table1].[Date].&amp;[2025-09-25T00:00:00]"/>
            <x15:cachedUniqueName index="268" name="[Table1].[Date].&amp;[2025-09-26T00:00:00]"/>
            <x15:cachedUniqueName index="269" name="[Table1].[Date].&amp;[2025-09-27T00:00:00]"/>
            <x15:cachedUniqueName index="270" name="[Table1].[Date].&amp;[2025-09-28T00:00:00]"/>
            <x15:cachedUniqueName index="271" name="[Table1].[Date].&amp;[2025-09-29T00:00:00]"/>
            <x15:cachedUniqueName index="272" name="[Table1].[Date].&amp;[2025-09-30T00:00:00]"/>
            <x15:cachedUniqueName index="273" name="[Table1].[Date].&amp;[2025-10-01T00:00:00]"/>
            <x15:cachedUniqueName index="274" name="[Table1].[Date].&amp;[2025-10-02T00:00:00]"/>
            <x15:cachedUniqueName index="275" name="[Table1].[Date].&amp;[2025-10-03T00:00:00]"/>
            <x15:cachedUniqueName index="276" name="[Table1].[Date].&amp;[2025-10-04T00:00:00]"/>
            <x15:cachedUniqueName index="277" name="[Table1].[Date].&amp;[2025-10-05T00:00:00]"/>
            <x15:cachedUniqueName index="278" name="[Table1].[Date].&amp;[2025-10-06T00:00:00]"/>
            <x15:cachedUniqueName index="279" name="[Table1].[Date].&amp;[2025-10-07T00:00:00]"/>
            <x15:cachedUniqueName index="280" name="[Table1].[Date].&amp;[2025-10-08T00:00:00]"/>
            <x15:cachedUniqueName index="281" name="[Table1].[Date].&amp;[2025-10-09T00:00:00]"/>
            <x15:cachedUniqueName index="282" name="[Table1].[Date].&amp;[2025-10-10T00:00:00]"/>
            <x15:cachedUniqueName index="283" name="[Table1].[Date].&amp;[2025-10-11T00:00:00]"/>
            <x15:cachedUniqueName index="284" name="[Table1].[Date].&amp;[2025-10-12T00:00:00]"/>
            <x15:cachedUniqueName index="285" name="[Table1].[Date].&amp;[2025-10-13T00:00:00]"/>
            <x15:cachedUniqueName index="286" name="[Table1].[Date].&amp;[2025-10-14T00:00:00]"/>
            <x15:cachedUniqueName index="287" name="[Table1].[Date].&amp;[2025-10-15T00:00:00]"/>
            <x15:cachedUniqueName index="288" name="[Table1].[Date].&amp;[2025-10-16T00:00:00]"/>
            <x15:cachedUniqueName index="289" name="[Table1].[Date].&amp;[2025-10-17T00:00:00]"/>
            <x15:cachedUniqueName index="290" name="[Table1].[Date].&amp;[2025-10-18T00:00:00]"/>
            <x15:cachedUniqueName index="291" name="[Table1].[Date].&amp;[2025-10-19T00:00:00]"/>
            <x15:cachedUniqueName index="292" name="[Table1].[Date].&amp;[2025-10-20T00:00:00]"/>
            <x15:cachedUniqueName index="293" name="[Table1].[Date].&amp;[2025-10-21T00:00:00]"/>
            <x15:cachedUniqueName index="294" name="[Table1].[Date].&amp;[2025-10-22T00:00:00]"/>
            <x15:cachedUniqueName index="295" name="[Table1].[Date].&amp;[2025-10-23T00:00:00]"/>
            <x15:cachedUniqueName index="296" name="[Table1].[Date].&amp;[2025-10-24T00:00:00]"/>
            <x15:cachedUniqueName index="297" name="[Table1].[Date].&amp;[2025-10-25T00:00:00]"/>
            <x15:cachedUniqueName index="298" name="[Table1].[Date].&amp;[2025-10-26T00:00:00]"/>
            <x15:cachedUniqueName index="299" name="[Table1].[Date].&amp;[2025-10-27T00:00:00]"/>
            <x15:cachedUniqueName index="300" name="[Table1].[Date].&amp;[2025-10-28T00:00:00]"/>
            <x15:cachedUniqueName index="301" name="[Table1].[Date].&amp;[2025-10-29T00:00:00]"/>
            <x15:cachedUniqueName index="302" name="[Table1].[Date].&amp;[2025-10-30T00:00:00]"/>
            <x15:cachedUniqueName index="303" name="[Table1].[Date].&amp;[2025-10-31T00:00:00]"/>
          </x15:cachedUniqueNames>
        </ext>
      </extLst>
    </cacheField>
    <cacheField name="[Table1].[Date (Month)].[Date (Month)]" caption="Date (Month)" numFmtId="0" hierarchy="16" level="1">
      <sharedItems count="10">
        <s v="Jan"/>
        <s v="Feb"/>
        <s v="Mar"/>
        <s v="Apr"/>
        <s v="May"/>
        <s v="Jun"/>
        <s v="Jul"/>
        <s v="Aug"/>
        <s v="Sep"/>
        <s v="Oct"/>
      </sharedItems>
      <extLst>
        <ext xmlns:x15="http://schemas.microsoft.com/office/spreadsheetml/2010/11/main" uri="{4F2E5C28-24EA-4eb8-9CBF-B6C8F9C3D259}">
          <x15:cachedUniqueNames>
            <x15:cachedUniqueName index="0" name="[Table1].[Date (Month)].&amp;[Jan]"/>
            <x15:cachedUniqueName index="1" name="[Table1].[Date (Month)].&amp;[Feb]"/>
            <x15:cachedUniqueName index="2" name="[Table1].[Date (Month)].&amp;[Mar]"/>
            <x15:cachedUniqueName index="3" name="[Table1].[Date (Month)].&amp;[Apr]"/>
            <x15:cachedUniqueName index="4" name="[Table1].[Date (Month)].&amp;[May]"/>
            <x15:cachedUniqueName index="5" name="[Table1].[Date (Month)].&amp;[Jun]"/>
            <x15:cachedUniqueName index="6" name="[Table1].[Date (Month)].&amp;[Jul]"/>
            <x15:cachedUniqueName index="7" name="[Table1].[Date (Month)].&amp;[Aug]"/>
            <x15:cachedUniqueName index="8" name="[Table1].[Date (Month)].&amp;[Sep]"/>
            <x15:cachedUniqueName index="9" name="[Table1].[Date (Month)].&amp;[Oct]"/>
          </x15:cachedUniqueNames>
        </ext>
      </extLst>
    </cacheField>
  </cacheFields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2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Target weight]" caption="Target weight" measure="1" displayFolder="" measureGroup="Table1" count="0"/>
    <cacheHierarchy uniqueName="[Measures].[Initial weight]" caption="Initial weigh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weight lost ]" caption="Total weight lost " measure="1" displayFolder="" measureGroup="Table1" count="0"/>
    <cacheHierarchy uniqueName="[Measures].[Total calories this month]" caption="Total calories this month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]" caption="Active days this month" measure="1" displayFolder="" measureGroup="Table1" count="0"/>
    <cacheHierarchy uniqueName="[Measures].[Most common intensity]" caption="Most common intensity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 ]" caption="Quick message 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05902781" backgroundQuery="1" createdVersion="8" refreshedVersion="8" minRefreshableVersion="3" recordCount="0" supportSubquery="1" supportAdvancedDrill="1" xr:uid="{6FB5C410-CBF7-405F-B8F4-9A29B7F49770}">
  <cacheSource type="external" connectionId="1"/>
  <cacheFields count="6">
    <cacheField name="[Measures].[Average of Duration_mins]" caption="Average of Duration_mins" numFmtId="0" hierarchy="22" level="32767"/>
    <cacheField name="[Measures].[Average of Calories_Burned]" caption="Average of Calories_Burned" numFmtId="0" hierarchy="23" level="32767"/>
    <cacheField name="[Measures].[Average of Steps]" caption="Average of Steps" numFmtId="0" hierarchy="24" level="32767"/>
    <cacheField name="[Measures].[Average of Sleep_hours]" caption="Average of Sleep_hours" numFmtId="0" hierarchy="25" level="32767"/>
    <cacheField name="[Measures].[Average of Heart_Rate_bpm]" caption="Average of Heart_Rate_bpm" numFmtId="0" hierarchy="27" level="32767"/>
    <cacheField name="[Table1].[Date].[Date]" caption="Date" numFmtId="0" level="1">
      <sharedItems containsSemiMixedTypes="0" containsNonDate="0" containsString="0"/>
    </cacheField>
  </cacheFields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5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Target weight]" caption="Target weight" measure="1" displayFolder="" measureGroup="Table1" count="0"/>
    <cacheHierarchy uniqueName="[Measures].[Initial weight]" caption="Initial weigh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weight lost ]" caption="Total weight lost " measure="1" displayFolder="" measureGroup="Table1" count="0"/>
    <cacheHierarchy uniqueName="[Measures].[Total calories this month]" caption="Total calories this month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]" caption="Active days this month" measure="1" displayFolder="" measureGroup="Table1" count="0"/>
    <cacheHierarchy uniqueName="[Measures].[Most common intensity]" caption="Most common intensity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 ]" caption="Quick message 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08796299" backgroundQuery="1" createdVersion="8" refreshedVersion="8" minRefreshableVersion="3" recordCount="0" supportSubquery="1" supportAdvancedDrill="1" xr:uid="{DD2D40A9-6D28-499B-A95F-3CDEC6EDAD36}">
  <cacheSource type="external" connectionId="1"/>
  <cacheFields count="3">
    <cacheField name="[Measures].[Current weight]" caption="Current weight" numFmtId="0" hierarchy="28" level="32767"/>
    <cacheField name="[Measures].[Weight Target]" caption="Weight Target" numFmtId="0" hierarchy="29" level="32767"/>
    <cacheField name="[Table1].[Date].[Date]" caption="Date" numFmtId="0" level="1">
      <sharedItems containsSemiMixedTypes="0" containsNonDate="0" containsString="0"/>
    </cacheField>
  </cacheFields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2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Target weight]" caption="Target weight" measure="1" displayFolder="" measureGroup="Table1" count="0"/>
    <cacheHierarchy uniqueName="[Measures].[Initial weight]" caption="Initial weigh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weight lost ]" caption="Total weight lost " measure="1" displayFolder="" measureGroup="Table1" count="0"/>
    <cacheHierarchy uniqueName="[Measures].[Total calories this month]" caption="Total calories this month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]" caption="Active days this month" measure="1" displayFolder="" measureGroup="Table1" count="0"/>
    <cacheHierarchy uniqueName="[Measures].[Most common intensity]" caption="Most common intensity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 ]" caption="Quick message 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11921293" backgroundQuery="1" createdVersion="8" refreshedVersion="8" minRefreshableVersion="3" recordCount="0" supportSubquery="1" supportAdvancedDrill="1" xr:uid="{7493D7C7-6A29-4C4C-A1B3-4F7474344E23}">
  <cacheSource type="external" connectionId="1"/>
  <cacheFields count="15">
    <cacheField name="[Measures].[Current weight]" caption="Current weight" numFmtId="0" hierarchy="28" level="32767"/>
    <cacheField name="[Measures].[Weight Target]" caption="Weight Target" numFmtId="0" hierarchy="29" level="32767"/>
    <cacheField name="[Measures].[Target weight]" caption="Target weight" numFmtId="0" hierarchy="30" level="32767"/>
    <cacheField name="[Measures].[Initial weight]" caption="Initial weight" numFmtId="0" hierarchy="31" level="32767"/>
    <cacheField name="[Measures].[Avg weight lost per month]" caption="Avg weight lost per month" numFmtId="0" hierarchy="32" level="32767"/>
    <cacheField name="[Measures].[Total workouts this month]" caption="Total workouts this month" numFmtId="0" hierarchy="33" level="32767"/>
    <cacheField name="[Measures].[Total weight lost ]" caption="Total weight lost " numFmtId="0" hierarchy="34" level="32767"/>
    <cacheField name="[Measures].[Total calories this month]" caption="Total calories this month" numFmtId="0" hierarchy="35" level="32767"/>
    <cacheField name="[Measures].[Total time this month hours]" caption="Total time this month hours" numFmtId="0" hierarchy="36" level="32767"/>
    <cacheField name="[Measures].[Active days this month]" caption="Active days this month" numFmtId="0" hierarchy="37" level="32767"/>
    <cacheField name="[Measures].[Most common intensity]" caption="Most common intensity" numFmtId="0" hierarchy="38" level="32767"/>
    <cacheField name="[Measures].[Goal completion percent]" caption="Goal completion percent" numFmtId="0" hierarchy="39" level="32767"/>
    <cacheField name="[Measures].[Weight lost this month]" caption="Weight lost this month" numFmtId="0" hierarchy="40" level="32767"/>
    <cacheField name="[Measures].[Quick message ]" caption="Quick message " numFmtId="0" hierarchy="41" level="32767"/>
    <cacheField name="[Table1].[Date].[Date]" caption="Date" numFmtId="0" level="1">
      <sharedItems containsSemiMixedTypes="0" containsNonDate="0" containsString="0"/>
    </cacheField>
  </cacheFields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14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Target weight]" caption="Target weight" measure="1" displayFolder="" measureGroup="Table1" count="0" oneField="1">
      <fieldsUsage count="1">
        <fieldUsage x="2"/>
      </fieldsUsage>
    </cacheHierarchy>
    <cacheHierarchy uniqueName="[Measures].[Initial weight]" caption="Initial weight" measure="1" displayFolder="" measureGroup="Table1" count="0" oneField="1">
      <fieldsUsage count="1">
        <fieldUsage x="3"/>
      </fieldsUsage>
    </cacheHierarchy>
    <cacheHierarchy uniqueName="[Measures].[Avg weight lost per month]" caption="Avg weight lost per month" measure="1" displayFolder="" measureGroup="Table1" count="0" oneField="1">
      <fieldsUsage count="1">
        <fieldUsage x="4"/>
      </fieldsUsage>
    </cacheHierarchy>
    <cacheHierarchy uniqueName="[Measures].[Total workouts this month]" caption="Total workouts this month" measure="1" displayFolder="" measureGroup="Table1" count="0" oneField="1">
      <fieldsUsage count="1">
        <fieldUsage x="5"/>
      </fieldsUsage>
    </cacheHierarchy>
    <cacheHierarchy uniqueName="[Measures].[Total weight lost ]" caption="Total weight lost " measure="1" displayFolder="" measureGroup="Table1" count="0" oneField="1">
      <fieldsUsage count="1">
        <fieldUsage x="6"/>
      </fieldsUsage>
    </cacheHierarchy>
    <cacheHierarchy uniqueName="[Measures].[Total calories this month]" caption="Total calories this month" measure="1" displayFolder="" measureGroup="Table1" count="0" oneField="1">
      <fieldsUsage count="1">
        <fieldUsage x="7"/>
      </fieldsUsage>
    </cacheHierarchy>
    <cacheHierarchy uniqueName="[Measures].[Total time this month hours]" caption="Total time this month hours" measure="1" displayFolder="" measureGroup="Table1" count="0" oneField="1">
      <fieldsUsage count="1">
        <fieldUsage x="8"/>
      </fieldsUsage>
    </cacheHierarchy>
    <cacheHierarchy uniqueName="[Measures].[Active days this month]" caption="Active days this month" measure="1" displayFolder="" measureGroup="Table1" count="0" oneField="1">
      <fieldsUsage count="1">
        <fieldUsage x="9"/>
      </fieldsUsage>
    </cacheHierarchy>
    <cacheHierarchy uniqueName="[Measures].[Most common intensity]" caption="Most common intensity" measure="1" displayFolder="" measureGroup="Table1" count="0" oneField="1">
      <fieldsUsage count="1">
        <fieldUsage x="10"/>
      </fieldsUsage>
    </cacheHierarchy>
    <cacheHierarchy uniqueName="[Measures].[Goal completion percent]" caption="Goal completion percent" measure="1" displayFolder="" measureGroup="Table1" count="0" oneField="1">
      <fieldsUsage count="1">
        <fieldUsage x="11"/>
      </fieldsUsage>
    </cacheHierarchy>
    <cacheHierarchy uniqueName="[Measures].[Weight lost this month]" caption="Weight lost this month" measure="1" displayFolder="" measureGroup="Table1" count="0" oneField="1">
      <fieldsUsage count="1">
        <fieldUsage x="12"/>
      </fieldsUsage>
    </cacheHierarchy>
    <cacheHierarchy uniqueName="[Measures].[Quick message ]" caption="Quick message " measure="1" displayFolder="" measureGroup="Table1" count="0" oneField="1">
      <fieldsUsage count="1">
        <fieldUsage x="13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15046295" backgroundQuery="1" createdVersion="8" refreshedVersion="8" minRefreshableVersion="3" recordCount="0" supportSubquery="1" supportAdvancedDrill="1" xr:uid="{632503F6-B02A-412F-91E5-D078DD01837B}">
  <cacheSource type="external" connectionId="1"/>
  <cacheFields count="4">
    <cacheField name="[Measures].[Average of Calories_Burned]" caption="Average of Calories_Burned" numFmtId="0" hierarchy="23" level="32767"/>
    <cacheField name="[Measures].[Average of Duration_mins]" caption="Average of Duration_mins" numFmtId="0" hierarchy="22" level="32767"/>
    <cacheField name="[Table1].[Day_of_Week].[Day_of_Week]" caption="Day_of_Week" numFmtId="0" hierarchy="1" level="1">
      <sharedItems count="7">
        <s v="Friday"/>
        <s v="Monday"/>
        <s v="Saturday"/>
        <s v="Sunday"/>
        <s v="Thursday"/>
        <s v="Tuesday"/>
        <s v="Wednesday"/>
      </sharedItems>
      <extLst>
        <ext xmlns:x15="http://schemas.microsoft.com/office/spreadsheetml/2010/11/main" uri="{4F2E5C28-24EA-4eb8-9CBF-B6C8F9C3D259}">
          <x15:cachedUniqueNames>
            <x15:cachedUniqueName index="0" name="[Table1].[Day_of_Week].&amp;[Friday]"/>
            <x15:cachedUniqueName index="1" name="[Table1].[Day_of_Week].&amp;[Monday]"/>
            <x15:cachedUniqueName index="2" name="[Table1].[Day_of_Week].&amp;[Saturday]"/>
            <x15:cachedUniqueName index="3" name="[Table1].[Day_of_Week].&amp;[Sunday]"/>
            <x15:cachedUniqueName index="4" name="[Table1].[Day_of_Week].&amp;[Thursday]"/>
            <x15:cachedUniqueName index="5" name="[Table1].[Day_of_Week].&amp;[Tuesday]"/>
            <x15:cachedUniqueName index="6" name="[Table1].[Day_of_Week].&amp;[Wednesday]"/>
          </x15:cachedUniqueNames>
        </ext>
      </extLst>
    </cacheField>
    <cacheField name="[Table1].[Date].[Date]" caption="Date" numFmtId="0" level="1">
      <sharedItems containsSemiMixedTypes="0" containsNonDate="0" containsString="0"/>
    </cacheField>
  </cacheFields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Target weight]" caption="Target weight" measure="1" displayFolder="" measureGroup="Table1" count="0"/>
    <cacheHierarchy uniqueName="[Measures].[Initial weight]" caption="Initial weigh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weight lost ]" caption="Total weight lost " measure="1" displayFolder="" measureGroup="Table1" count="0"/>
    <cacheHierarchy uniqueName="[Measures].[Total calories this month]" caption="Total calories this month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]" caption="Active days this month" measure="1" displayFolder="" measureGroup="Table1" count="0"/>
    <cacheHierarchy uniqueName="[Measures].[Most common intensity]" caption="Most common intensity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 ]" caption="Quick message 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18402774" backgroundQuery="1" createdVersion="8" refreshedVersion="8" minRefreshableVersion="3" recordCount="0" supportSubquery="1" supportAdvancedDrill="1" xr:uid="{37F3048D-AC8B-4B79-B8FA-55CC141B5614}">
  <cacheSource type="external" connectionId="1"/>
  <cacheFields count="4">
    <cacheField name="[Table1].[Specific_Exercise].[Specific_Exercise]" caption="Specific_Exercise" numFmtId="0" hierarchy="4" level="1">
      <sharedItems count="9">
        <s v="Bodyweight"/>
        <s v="Cycling"/>
        <s v="Jump Rope"/>
        <s v="Rest Day"/>
        <s v="Running"/>
        <s v="Stretching"/>
        <s v="Swimming"/>
        <s v="Weightlifting"/>
        <s v="Yoga"/>
      </sharedItems>
      <extLst>
        <ext xmlns:x15="http://schemas.microsoft.com/office/spreadsheetml/2010/11/main" uri="{4F2E5C28-24EA-4eb8-9CBF-B6C8F9C3D259}">
          <x15:cachedUniqueNames>
            <x15:cachedUniqueName index="0" name="[Table1].[Specific_Exercise].&amp;[Bodyweight]"/>
            <x15:cachedUniqueName index="1" name="[Table1].[Specific_Exercise].&amp;[Cycling]"/>
            <x15:cachedUniqueName index="2" name="[Table1].[Specific_Exercise].&amp;[Jump Rope]"/>
            <x15:cachedUniqueName index="3" name="[Table1].[Specific_Exercise].&amp;[Rest Day]"/>
            <x15:cachedUniqueName index="4" name="[Table1].[Specific_Exercise].&amp;[Running]"/>
            <x15:cachedUniqueName index="5" name="[Table1].[Specific_Exercise].&amp;[Stretching]"/>
            <x15:cachedUniqueName index="6" name="[Table1].[Specific_Exercise].&amp;[Swimming]"/>
            <x15:cachedUniqueName index="7" name="[Table1].[Specific_Exercise].&amp;[Weightlifting]"/>
            <x15:cachedUniqueName index="8" name="[Table1].[Specific_Exercise].&amp;[Yoga]"/>
          </x15:cachedUniqueNames>
        </ext>
      </extLst>
    </cacheField>
    <cacheField name="[Measures].[Average of Calories_Burned]" caption="Average of Calories_Burned" numFmtId="0" hierarchy="23" level="32767"/>
    <cacheField name="[Measures].[Average of Duration_mins]" caption="Average of Duration_mins" numFmtId="0" hierarchy="22" level="32767"/>
    <cacheField name="[Table1].[Date].[Date]" caption="Date" numFmtId="0" level="1">
      <sharedItems containsSemiMixedTypes="0" containsNonDate="0" containsString="0"/>
    </cacheField>
  </cacheFields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Target weight]" caption="Target weight" measure="1" displayFolder="" measureGroup="Table1" count="0"/>
    <cacheHierarchy uniqueName="[Measures].[Initial weight]" caption="Initial weigh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weight lost ]" caption="Total weight lost " measure="1" displayFolder="" measureGroup="Table1" count="0"/>
    <cacheHierarchy uniqueName="[Measures].[Total calories this month]" caption="Total calories this month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]" caption="Active days this month" measure="1" displayFolder="" measureGroup="Table1" count="0"/>
    <cacheHierarchy uniqueName="[Measures].[Most common intensity]" caption="Most common intensity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 ]" caption="Quick message 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I" refreshedDate="46183.905802083333" backgroundQuery="1" createdVersion="3" refreshedVersion="8" minRefreshableVersion="3" recordCount="0" supportSubquery="1" supportAdvancedDrill="1" xr:uid="{C66721A9-FF8E-4158-851B-1B9F243846F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Target weight]" caption="Target weight" measure="1" displayFolder="" measureGroup="Table1" count="0"/>
    <cacheHierarchy uniqueName="[Measures].[Initial weight]" caption="Initial weigh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weight lost ]" caption="Total weight lost " measure="1" displayFolder="" measureGroup="Table1" count="0"/>
    <cacheHierarchy uniqueName="[Measures].[Total calories this month]" caption="Total calories this month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]" caption="Active days this month" measure="1" displayFolder="" measureGroup="Table1" count="0"/>
    <cacheHierarchy uniqueName="[Measures].[Most common intensity]" caption="Most common intensity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 ]" caption="Quick message 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14153083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9D42B-39AC-488C-AF70-577FAA40B6F1}" name="PivotTable6" cacheId="143" applyNumberFormats="0" applyBorderFormats="0" applyFontFormats="0" applyPatternFormats="0" applyAlignmentFormats="0" applyWidthHeightFormats="1" dataCaption="Values" tag="4350a9f1-f14d-4abb-977a-934568139578" updatedVersion="8" minRefreshableVersion="5" useAutoFormatting="1" subtotalHiddenItems="1" rowGrandTotals="0" colGrandTotals="0" itemPrintTitles="1" createdVersion="8" indent="0" outline="1" outlineData="1" multipleFieldFilters="0" chartFormat="10">
  <location ref="A30:C39" firstHeaderRow="0" firstDataRow="1" firstDataCol="1"/>
  <pivotFields count="4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 v="1"/>
    </i>
    <i>
      <x v="6"/>
    </i>
    <i>
      <x v="4"/>
    </i>
    <i>
      <x/>
    </i>
    <i>
      <x v="2"/>
    </i>
    <i>
      <x v="7"/>
    </i>
    <i>
      <x v="8"/>
    </i>
    <i>
      <x v="5"/>
    </i>
    <i>
      <x v="3"/>
    </i>
  </rowItems>
  <colFields count="1">
    <field x="-2"/>
  </colFields>
  <colItems count="2">
    <i>
      <x/>
    </i>
    <i i="1">
      <x v="1"/>
    </i>
  </colItems>
  <dataFields count="2">
    <dataField name="Avg Duration mins" fld="2" subtotal="average" baseField="0" baseItem="0"/>
    <dataField name="Avg Calories Burnt" fld="1" subtotal="average" baseField="0" baseItem="0"/>
  </dataFields>
  <formats count="1">
    <format dxfId="0">
      <pivotArea outline="0" collapsedLevelsAreSubtotals="1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Duration mins"/>
    <pivotHierarchy dragToData="1" caption="Avg Calories Burnt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0" name="[Table1].[Date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tness_tracker_data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24F3E-705D-44BF-8397-0B98C3368BE5}" name="PivotTable5" cacheId="127" applyNumberFormats="0" applyBorderFormats="0" applyFontFormats="0" applyPatternFormats="0" applyAlignmentFormats="0" applyWidthHeightFormats="1" dataCaption="Values" tag="1a1c3740-13b3-4451-8a64-97808ab69b41" updatedVersion="8" minRefreshableVersion="3" useAutoFormatting="1" subtotalHiddenItems="1" rowGrandTotals="0" colGrandTotals="0" itemPrintTitles="1" createdVersion="8" indent="0" outline="1" outlineData="1" multipleFieldFilters="0" chartFormat="9">
  <location ref="A15:C25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</items>
    </pivotField>
    <pivotField axis="axisRow" allDrilled="1" subtotalTop="0" showAll="0" dataSourceSort="1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</pivotFields>
  <rowFields count="2">
    <field x="3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5"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tness_tracker_data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4067C-BBAA-4E7A-8F64-5DB3AFB8F6A3}" name="PivotTable3" cacheId="137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A11:N12" firstHeaderRow="0" firstDataRow="1" firstDataCol="0"/>
  <pivotFields count="1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 numFmtId="9"/>
    <dataField fld="12" subtotal="count" baseField="0" baseItem="0"/>
    <dataField fld="13" subtotal="count" baseField="0" baseItem="0"/>
  </dataFields>
  <formats count="3"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4" type="dateBetween" evalOrder="-1" id="20" name="[Table1].[Date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tness_tracker_data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5CA5E-CE7B-49CF-B53B-AADA35A5E1B2}" name="PivotTable2" cacheId="13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A6:B7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3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20" name="[Table1].[Date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tness_tracker_data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BFE98-F7A1-4B78-9175-B8AB910FA9FE}" name="PivotTable1" cacheId="131" applyNumberFormats="0" applyBorderFormats="0" applyFontFormats="0" applyPatternFormats="0" applyAlignmentFormats="0" applyWidthHeightFormats="1" dataCaption="Values" tag="e8610156-76a7-49d1-84d1-47b7c08b4c33" updatedVersion="8" minRefreshableVersion="5" useAutoFormatting="1" subtotalHiddenItems="1" itemPrintTitles="1" createdVersion="8" indent="0" outline="1" outlineData="1" multipleFieldFilters="0">
  <location ref="A3:E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Duration_mins" fld="0" subtotal="average" baseField="0" baseItem="1"/>
    <dataField name="Average of Calories_Burned" fld="1" subtotal="average" baseField="0" baseItem="0"/>
    <dataField name="Average of Steps" fld="2" subtotal="average" baseField="0" baseItem="0" numFmtId="1"/>
    <dataField name="Average of Sleep_hours" fld="3" subtotal="average" baseField="0" baseItem="0"/>
    <dataField name="Avg Heart Rate" fld="4" subtotal="average" baseField="0" baseItem="4"/>
  </dataFields>
  <formats count="6"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Heart Ra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5" type="dateBetween" evalOrder="-1" id="23" name="[Table1].[Date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tness_tracker_data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622B6-59EB-4603-A704-180A1391A9F2}" name="PivotTable7" cacheId="140" applyNumberFormats="0" applyBorderFormats="0" applyFontFormats="0" applyPatternFormats="0" applyAlignmentFormats="0" applyWidthHeightFormats="1" dataCaption="Values" tag="49df2fb2-e7ce-4cd8-9559-44be28137903" updatedVersion="8" minRefreshableVersion="5" useAutoFormatting="1" subtotalHiddenItems="1" rowGrandTotals="0" colGrandTotals="0" itemPrintTitles="1" createdVersion="8" indent="0" outline="1" outlineData="1" multipleFieldFilters="0" chartFormat="5">
  <location ref="A46:C53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llDrilled="1" subtotalTop="0" showAll="0" dataSourceSort="1" defaultSubtotal="0" defaultAttributeDrillState="1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Avg Duration mins" fld="1" subtotal="average" baseField="0" baseItem="0"/>
    <dataField name="Avg Calories Burnt" fld="0" subtotal="average" baseField="0" baseItem="0"/>
  </dataFields>
  <formats count="1">
    <format dxfId="1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Duration mins"/>
    <pivotHierarchy dragToData="1" caption="Avg Calories Burnt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0" name="[Table1].[Date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tness_tracker_data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CC364-4DDC-4F1B-A743-A73E2A539D91}" name="Table1" displayName="Table1" ref="A1:P305" totalsRowShown="0">
  <autoFilter ref="A1:P305" xr:uid="{BCDCC364-4DDC-4F1B-A743-A73E2A539D91}"/>
  <tableColumns count="16">
    <tableColumn id="1" xr3:uid="{18586559-3B97-496D-ABE6-542209B1682E}" name="Date" dataDxfId="19"/>
    <tableColumn id="2" xr3:uid="{FE33A80D-7A64-43E6-930A-0F503D150DAB}" name="Day_of_Week"/>
    <tableColumn id="3" xr3:uid="{E779339A-7EFB-4E79-A07A-13C342982954}" name="Day num"/>
    <tableColumn id="4" xr3:uid="{EBA6767C-6FB2-4257-87F1-57C77610221A}" name="Exercise_Type"/>
    <tableColumn id="5" xr3:uid="{908705AA-097D-4D2B-A862-49CE70FD994C}" name="Specific_Exercise"/>
    <tableColumn id="6" xr3:uid="{7B0A0726-713E-46FC-9962-48B832F1F30A}" name="Duration_mins"/>
    <tableColumn id="7" xr3:uid="{914A3B1C-59ED-41B6-8EC8-3933624420C8}" name="Calories_Burned"/>
    <tableColumn id="8" xr3:uid="{B59F0402-B5E0-42D3-9AE1-07A71CBDB6BF}" name="Actual_Weight_kg"/>
    <tableColumn id="9" xr3:uid="{41B2ABC9-D493-4AEB-B10F-369799B55F52}" name="Expected_Weight_kg"/>
    <tableColumn id="10" xr3:uid="{C17806A7-0D4E-4DE2-BB61-FBAAA82C2321}" name="Heart_Rate_bpm"/>
    <tableColumn id="11" xr3:uid="{50ED1EBD-CA4D-410C-91CF-96A0B9053254}" name="Steps"/>
    <tableColumn id="12" xr3:uid="{B8BB21BB-22B4-4F19-A64E-1505E46480BD}" name="Sleep_hours"/>
    <tableColumn id="13" xr3:uid="{0285F58E-609E-4415-9139-D366771A1392}" name="Intensity"/>
    <tableColumn id="14" xr3:uid="{43B714D4-22DA-4DB4-B8AB-80B045C3C567}" name="Notes"/>
    <tableColumn id="15" xr3:uid="{EAB12200-A00B-4E89-A74D-41BC94E6B8E5}" name="Travel_Week"/>
    <tableColumn id="16" xr3:uid="{D9EEECC2-7F02-46EE-A4E2-B6C2F8C223D6}" name="Ill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8F88E81E-6085-45E6-822A-B6C2ED1C18E8}" sourceName="[Table1].[Date]">
  <pivotTables>
    <pivotTable tabId="2" name="PivotTable1"/>
    <pivotTable tabId="2" name="PivotTable2"/>
    <pivotTable tabId="2" name="PivotTable3"/>
    <pivotTable tabId="2" name="PivotTable6"/>
    <pivotTable tabId="2" name="PivotTable7"/>
  </pivotTables>
  <state minimalRefreshVersion="6" lastRefreshVersion="6" pivotCacheId="1141530837" filterType="dateBetween">
    <selection startDate="2025-09-01T00:00:00" endDate="2025-09-30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382B26FB-47D4-4811-93FF-42DADC6BFEEE}" cache="Timeline_Date" caption="Date" showHeader="0" showSelectionLabel="0" showTimeLevel="0" showHorizontalScrollbar="0" level="2" selectionLevel="2" scrollPosition="2025-03-01T00:00:00" style="TimeSlicerStyleLight1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4E5B-229C-4B9F-8850-82E1C5875EEF}">
  <dimension ref="A1:P305"/>
  <sheetViews>
    <sheetView topLeftCell="A7" workbookViewId="0"/>
  </sheetViews>
  <sheetFormatPr defaultRowHeight="14.4" x14ac:dyDescent="0.3"/>
  <cols>
    <col min="1" max="1" width="11.77734375" customWidth="1"/>
    <col min="2" max="2" width="14.6640625" customWidth="1"/>
    <col min="3" max="3" width="10.44140625" customWidth="1"/>
    <col min="4" max="4" width="14.6640625" customWidth="1"/>
    <col min="5" max="5" width="17" customWidth="1"/>
    <col min="6" max="6" width="15.21875" customWidth="1"/>
    <col min="7" max="7" width="16.5546875" customWidth="1"/>
    <col min="8" max="8" width="18.21875" customWidth="1"/>
    <col min="9" max="9" width="20.5546875" customWidth="1"/>
    <col min="10" max="10" width="17.109375" customWidth="1"/>
    <col min="12" max="12" width="13.21875" customWidth="1"/>
    <col min="13" max="13" width="10.21875" customWidth="1"/>
    <col min="14" max="14" width="13.21875" customWidth="1"/>
    <col min="15" max="15" width="13.77734375" customWidth="1"/>
    <col min="16" max="16" width="10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45658</v>
      </c>
      <c r="B2" t="s">
        <v>54</v>
      </c>
      <c r="C2">
        <v>3</v>
      </c>
      <c r="D2" t="s">
        <v>17</v>
      </c>
      <c r="E2" t="s">
        <v>21</v>
      </c>
      <c r="F2">
        <v>65</v>
      </c>
      <c r="G2">
        <v>793</v>
      </c>
      <c r="H2">
        <v>115.4</v>
      </c>
      <c r="I2">
        <v>114.7</v>
      </c>
      <c r="J2">
        <v>157</v>
      </c>
      <c r="K2">
        <v>10409</v>
      </c>
      <c r="L2">
        <v>8.1</v>
      </c>
      <c r="M2" t="s">
        <v>19</v>
      </c>
      <c r="N2" t="s">
        <v>31</v>
      </c>
      <c r="O2" t="b">
        <v>0</v>
      </c>
      <c r="P2" t="b">
        <v>0</v>
      </c>
    </row>
    <row r="3" spans="1:16" x14ac:dyDescent="0.3">
      <c r="A3" s="1">
        <v>45659</v>
      </c>
      <c r="B3" t="s">
        <v>55</v>
      </c>
      <c r="C3">
        <v>4</v>
      </c>
      <c r="D3" t="s">
        <v>36</v>
      </c>
      <c r="E3" t="s">
        <v>56</v>
      </c>
      <c r="F3">
        <v>25</v>
      </c>
      <c r="G3">
        <v>64</v>
      </c>
      <c r="H3">
        <v>115.4</v>
      </c>
      <c r="I3">
        <v>114.5</v>
      </c>
      <c r="J3">
        <v>94</v>
      </c>
      <c r="K3">
        <v>4662</v>
      </c>
      <c r="L3">
        <v>6.6</v>
      </c>
      <c r="M3" t="s">
        <v>29</v>
      </c>
      <c r="N3" t="s">
        <v>57</v>
      </c>
      <c r="O3" t="b">
        <v>0</v>
      </c>
      <c r="P3" t="b">
        <v>0</v>
      </c>
    </row>
    <row r="4" spans="1:16" x14ac:dyDescent="0.3">
      <c r="A4" s="1">
        <v>45660</v>
      </c>
      <c r="B4" t="s">
        <v>59</v>
      </c>
      <c r="C4">
        <v>5</v>
      </c>
      <c r="D4" t="s">
        <v>17</v>
      </c>
      <c r="E4" t="s">
        <v>21</v>
      </c>
      <c r="F4">
        <v>42</v>
      </c>
      <c r="G4">
        <v>405</v>
      </c>
      <c r="H4">
        <v>115.9</v>
      </c>
      <c r="I4">
        <v>114.2</v>
      </c>
      <c r="J4">
        <v>141</v>
      </c>
      <c r="K4">
        <v>12436</v>
      </c>
      <c r="L4">
        <v>7.5</v>
      </c>
      <c r="M4" t="s">
        <v>22</v>
      </c>
      <c r="N4" t="s">
        <v>31</v>
      </c>
      <c r="O4" t="b">
        <v>0</v>
      </c>
      <c r="P4" t="b">
        <v>0</v>
      </c>
    </row>
    <row r="5" spans="1:16" x14ac:dyDescent="0.3">
      <c r="A5" s="1">
        <v>45661</v>
      </c>
      <c r="B5" t="s">
        <v>61</v>
      </c>
      <c r="C5">
        <v>6</v>
      </c>
      <c r="D5" t="s">
        <v>40</v>
      </c>
      <c r="E5" t="s">
        <v>41</v>
      </c>
      <c r="F5">
        <v>78</v>
      </c>
      <c r="G5">
        <v>633</v>
      </c>
      <c r="H5">
        <v>114.4</v>
      </c>
      <c r="I5">
        <v>114</v>
      </c>
      <c r="J5">
        <v>143</v>
      </c>
      <c r="K5">
        <v>8130</v>
      </c>
      <c r="L5">
        <v>7</v>
      </c>
      <c r="M5" t="s">
        <v>19</v>
      </c>
      <c r="N5" t="s">
        <v>46</v>
      </c>
      <c r="O5" t="b">
        <v>0</v>
      </c>
      <c r="P5" t="b">
        <v>0</v>
      </c>
    </row>
    <row r="6" spans="1:16" x14ac:dyDescent="0.3">
      <c r="A6" s="1">
        <v>45662</v>
      </c>
      <c r="B6" t="s">
        <v>63</v>
      </c>
      <c r="C6">
        <v>7</v>
      </c>
      <c r="D6" t="s">
        <v>27</v>
      </c>
      <c r="E6" t="s">
        <v>28</v>
      </c>
      <c r="F6">
        <v>0</v>
      </c>
      <c r="G6">
        <v>0</v>
      </c>
      <c r="H6">
        <v>113.7</v>
      </c>
      <c r="I6">
        <v>113.7</v>
      </c>
      <c r="J6">
        <v>67</v>
      </c>
      <c r="K6">
        <v>3924</v>
      </c>
      <c r="L6">
        <v>8.1</v>
      </c>
      <c r="M6" t="s">
        <v>29</v>
      </c>
      <c r="N6" t="s">
        <v>34</v>
      </c>
      <c r="O6" t="b">
        <v>0</v>
      </c>
      <c r="P6" t="b">
        <v>0</v>
      </c>
    </row>
    <row r="7" spans="1:16" x14ac:dyDescent="0.3">
      <c r="A7" s="1">
        <v>45663</v>
      </c>
      <c r="B7" t="s">
        <v>16</v>
      </c>
      <c r="C7">
        <v>1</v>
      </c>
      <c r="D7" t="s">
        <v>17</v>
      </c>
      <c r="E7" t="s">
        <v>18</v>
      </c>
      <c r="F7">
        <v>81</v>
      </c>
      <c r="G7">
        <v>948</v>
      </c>
      <c r="H7">
        <v>113.4</v>
      </c>
      <c r="I7">
        <v>113.4</v>
      </c>
      <c r="J7">
        <v>162</v>
      </c>
      <c r="K7">
        <v>10525</v>
      </c>
      <c r="L7">
        <v>8.1</v>
      </c>
      <c r="M7" t="s">
        <v>19</v>
      </c>
      <c r="N7" t="s">
        <v>20</v>
      </c>
      <c r="O7" t="b">
        <v>0</v>
      </c>
      <c r="P7" t="b">
        <v>0</v>
      </c>
    </row>
    <row r="8" spans="1:16" x14ac:dyDescent="0.3">
      <c r="A8" s="1">
        <v>45664</v>
      </c>
      <c r="B8" t="s">
        <v>39</v>
      </c>
      <c r="C8">
        <v>2</v>
      </c>
      <c r="D8" t="s">
        <v>40</v>
      </c>
      <c r="E8" t="s">
        <v>41</v>
      </c>
      <c r="F8">
        <v>57</v>
      </c>
      <c r="G8">
        <v>390</v>
      </c>
      <c r="H8">
        <v>114.4</v>
      </c>
      <c r="I8">
        <v>113.2</v>
      </c>
      <c r="J8">
        <v>155</v>
      </c>
      <c r="K8">
        <v>8288</v>
      </c>
      <c r="L8">
        <v>7.9</v>
      </c>
      <c r="M8" t="s">
        <v>22</v>
      </c>
      <c r="N8" t="s">
        <v>42</v>
      </c>
      <c r="O8" t="b">
        <v>0</v>
      </c>
      <c r="P8" t="b">
        <v>0</v>
      </c>
    </row>
    <row r="9" spans="1:16" x14ac:dyDescent="0.3">
      <c r="A9" s="1">
        <v>45665</v>
      </c>
      <c r="B9" t="s">
        <v>54</v>
      </c>
      <c r="C9">
        <v>3</v>
      </c>
      <c r="D9" t="s">
        <v>17</v>
      </c>
      <c r="E9" t="s">
        <v>18</v>
      </c>
      <c r="F9">
        <v>52</v>
      </c>
      <c r="G9">
        <v>872</v>
      </c>
      <c r="H9">
        <v>114.9</v>
      </c>
      <c r="I9">
        <v>113</v>
      </c>
      <c r="J9">
        <v>142</v>
      </c>
      <c r="K9">
        <v>12354</v>
      </c>
      <c r="L9">
        <v>8.1999999999999993</v>
      </c>
      <c r="M9" t="s">
        <v>19</v>
      </c>
      <c r="N9" t="s">
        <v>20</v>
      </c>
      <c r="O9" t="b">
        <v>0</v>
      </c>
      <c r="P9" t="b">
        <v>0</v>
      </c>
    </row>
    <row r="10" spans="1:16" x14ac:dyDescent="0.3">
      <c r="A10" s="1">
        <v>45666</v>
      </c>
      <c r="B10" t="s">
        <v>55</v>
      </c>
      <c r="C10">
        <v>4</v>
      </c>
      <c r="D10" t="s">
        <v>49</v>
      </c>
      <c r="E10" t="s">
        <v>52</v>
      </c>
      <c r="F10">
        <v>70</v>
      </c>
      <c r="G10">
        <v>653</v>
      </c>
      <c r="H10">
        <v>114.7</v>
      </c>
      <c r="I10">
        <v>112.7</v>
      </c>
      <c r="J10">
        <v>165</v>
      </c>
      <c r="K10">
        <v>14042</v>
      </c>
      <c r="L10">
        <v>6</v>
      </c>
      <c r="M10" t="s">
        <v>22</v>
      </c>
      <c r="N10" t="s">
        <v>53</v>
      </c>
      <c r="O10" t="b">
        <v>0</v>
      </c>
      <c r="P10" t="b">
        <v>0</v>
      </c>
    </row>
    <row r="11" spans="1:16" x14ac:dyDescent="0.3">
      <c r="A11" s="1">
        <v>45667</v>
      </c>
      <c r="B11" t="s">
        <v>59</v>
      </c>
      <c r="C11">
        <v>5</v>
      </c>
      <c r="D11" t="s">
        <v>49</v>
      </c>
      <c r="E11" t="s">
        <v>50</v>
      </c>
      <c r="F11">
        <v>62</v>
      </c>
      <c r="G11">
        <v>656</v>
      </c>
      <c r="H11">
        <v>113.9</v>
      </c>
      <c r="I11">
        <v>112.5</v>
      </c>
      <c r="J11">
        <v>153</v>
      </c>
      <c r="K11">
        <v>11273</v>
      </c>
      <c r="L11">
        <v>6</v>
      </c>
      <c r="M11" t="s">
        <v>22</v>
      </c>
      <c r="N11" t="s">
        <v>60</v>
      </c>
      <c r="O11" t="b">
        <v>0</v>
      </c>
      <c r="P11" t="b">
        <v>0</v>
      </c>
    </row>
    <row r="12" spans="1:16" x14ac:dyDescent="0.3">
      <c r="A12" s="1">
        <v>45668</v>
      </c>
      <c r="B12" t="s">
        <v>61</v>
      </c>
      <c r="C12">
        <v>6</v>
      </c>
      <c r="D12" t="s">
        <v>40</v>
      </c>
      <c r="E12" t="s">
        <v>41</v>
      </c>
      <c r="F12">
        <v>49</v>
      </c>
      <c r="G12">
        <v>385</v>
      </c>
      <c r="H12">
        <v>113.6</v>
      </c>
      <c r="I12">
        <v>112.2</v>
      </c>
      <c r="J12">
        <v>160</v>
      </c>
      <c r="K12">
        <v>8663</v>
      </c>
      <c r="L12">
        <v>7.2</v>
      </c>
      <c r="M12" t="s">
        <v>22</v>
      </c>
      <c r="N12" t="s">
        <v>62</v>
      </c>
      <c r="O12" t="b">
        <v>0</v>
      </c>
      <c r="P12" t="b">
        <v>0</v>
      </c>
    </row>
    <row r="13" spans="1:16" x14ac:dyDescent="0.3">
      <c r="A13" s="1">
        <v>45669</v>
      </c>
      <c r="B13" t="s">
        <v>63</v>
      </c>
      <c r="C13">
        <v>7</v>
      </c>
      <c r="D13" t="s">
        <v>27</v>
      </c>
      <c r="E13" t="s">
        <v>28</v>
      </c>
      <c r="F13">
        <v>0</v>
      </c>
      <c r="G13">
        <v>0</v>
      </c>
      <c r="H13">
        <v>113.3</v>
      </c>
      <c r="I13">
        <v>112</v>
      </c>
      <c r="J13">
        <v>68</v>
      </c>
      <c r="K13">
        <v>4214</v>
      </c>
      <c r="L13">
        <v>7.4</v>
      </c>
      <c r="M13" t="s">
        <v>29</v>
      </c>
      <c r="N13" t="s">
        <v>30</v>
      </c>
      <c r="O13" t="b">
        <v>0</v>
      </c>
      <c r="P13" t="b">
        <v>0</v>
      </c>
    </row>
    <row r="14" spans="1:16" x14ac:dyDescent="0.3">
      <c r="A14" s="1">
        <v>45670</v>
      </c>
      <c r="B14" t="s">
        <v>16</v>
      </c>
      <c r="C14">
        <v>1</v>
      </c>
      <c r="D14" t="s">
        <v>17</v>
      </c>
      <c r="E14" t="s">
        <v>21</v>
      </c>
      <c r="F14">
        <v>37</v>
      </c>
      <c r="G14">
        <v>307</v>
      </c>
      <c r="H14">
        <v>113.1</v>
      </c>
      <c r="I14">
        <v>111.7</v>
      </c>
      <c r="J14">
        <v>152</v>
      </c>
      <c r="K14">
        <v>12913</v>
      </c>
      <c r="L14">
        <v>6</v>
      </c>
      <c r="M14" t="s">
        <v>22</v>
      </c>
      <c r="N14" t="s">
        <v>23</v>
      </c>
      <c r="O14" t="b">
        <v>0</v>
      </c>
      <c r="P14" t="b">
        <v>0</v>
      </c>
    </row>
    <row r="15" spans="1:16" x14ac:dyDescent="0.3">
      <c r="A15" s="1">
        <v>45671</v>
      </c>
      <c r="B15" t="s">
        <v>39</v>
      </c>
      <c r="C15">
        <v>2</v>
      </c>
      <c r="D15" t="s">
        <v>40</v>
      </c>
      <c r="E15" t="s">
        <v>43</v>
      </c>
      <c r="F15">
        <v>83</v>
      </c>
      <c r="G15">
        <v>820</v>
      </c>
      <c r="H15">
        <v>112.9</v>
      </c>
      <c r="I15">
        <v>111.5</v>
      </c>
      <c r="J15">
        <v>150</v>
      </c>
      <c r="K15">
        <v>7694</v>
      </c>
      <c r="L15">
        <v>8</v>
      </c>
      <c r="M15" t="s">
        <v>22</v>
      </c>
      <c r="N15" t="s">
        <v>44</v>
      </c>
      <c r="O15" t="b">
        <v>0</v>
      </c>
      <c r="P15" t="b">
        <v>0</v>
      </c>
    </row>
    <row r="16" spans="1:16" x14ac:dyDescent="0.3">
      <c r="A16" s="1">
        <v>45672</v>
      </c>
      <c r="B16" t="s">
        <v>54</v>
      </c>
      <c r="C16">
        <v>3</v>
      </c>
      <c r="D16" t="s">
        <v>17</v>
      </c>
      <c r="E16" t="s">
        <v>32</v>
      </c>
      <c r="F16">
        <v>49</v>
      </c>
      <c r="G16">
        <v>535</v>
      </c>
      <c r="H16">
        <v>112.4</v>
      </c>
      <c r="I16">
        <v>111.3</v>
      </c>
      <c r="J16">
        <v>169</v>
      </c>
      <c r="K16">
        <v>14256</v>
      </c>
      <c r="L16">
        <v>6.7</v>
      </c>
      <c r="M16" t="s">
        <v>22</v>
      </c>
      <c r="N16" t="s">
        <v>20</v>
      </c>
      <c r="O16" t="b">
        <v>0</v>
      </c>
      <c r="P16" t="b">
        <v>0</v>
      </c>
    </row>
    <row r="17" spans="1:16" x14ac:dyDescent="0.3">
      <c r="A17" s="1">
        <v>45673</v>
      </c>
      <c r="B17" t="s">
        <v>55</v>
      </c>
      <c r="C17">
        <v>4</v>
      </c>
      <c r="D17" t="s">
        <v>36</v>
      </c>
      <c r="E17" t="s">
        <v>56</v>
      </c>
      <c r="F17">
        <v>18</v>
      </c>
      <c r="G17">
        <v>79</v>
      </c>
      <c r="H17">
        <v>112.4</v>
      </c>
      <c r="I17">
        <v>111.1</v>
      </c>
      <c r="J17">
        <v>96</v>
      </c>
      <c r="K17">
        <v>6497</v>
      </c>
      <c r="L17">
        <v>6.6</v>
      </c>
      <c r="M17" t="s">
        <v>29</v>
      </c>
      <c r="N17" t="s">
        <v>58</v>
      </c>
      <c r="O17" t="b">
        <v>0</v>
      </c>
      <c r="P17" t="b">
        <v>0</v>
      </c>
    </row>
    <row r="18" spans="1:16" x14ac:dyDescent="0.3">
      <c r="A18" s="1">
        <v>45674</v>
      </c>
      <c r="B18" t="s">
        <v>59</v>
      </c>
      <c r="C18">
        <v>5</v>
      </c>
      <c r="D18" t="s">
        <v>40</v>
      </c>
      <c r="E18" t="s">
        <v>41</v>
      </c>
      <c r="F18">
        <v>68</v>
      </c>
      <c r="G18">
        <v>592</v>
      </c>
      <c r="H18">
        <v>112</v>
      </c>
      <c r="I18">
        <v>110.8</v>
      </c>
      <c r="J18">
        <v>131</v>
      </c>
      <c r="K18">
        <v>5760</v>
      </c>
      <c r="L18">
        <v>7.2</v>
      </c>
      <c r="M18" t="s">
        <v>19</v>
      </c>
      <c r="N18" t="s">
        <v>44</v>
      </c>
      <c r="O18" t="b">
        <v>0</v>
      </c>
      <c r="P18" t="b">
        <v>0</v>
      </c>
    </row>
    <row r="19" spans="1:16" x14ac:dyDescent="0.3">
      <c r="A19" s="1">
        <v>45675</v>
      </c>
      <c r="B19" t="s">
        <v>61</v>
      </c>
      <c r="C19">
        <v>6</v>
      </c>
      <c r="D19" t="s">
        <v>40</v>
      </c>
      <c r="E19" t="s">
        <v>41</v>
      </c>
      <c r="F19">
        <v>66</v>
      </c>
      <c r="G19">
        <v>451</v>
      </c>
      <c r="H19">
        <v>111.7</v>
      </c>
      <c r="I19">
        <v>110.6</v>
      </c>
      <c r="J19">
        <v>143</v>
      </c>
      <c r="K19">
        <v>6476</v>
      </c>
      <c r="L19">
        <v>8.1</v>
      </c>
      <c r="M19" t="s">
        <v>22</v>
      </c>
      <c r="N19" t="s">
        <v>46</v>
      </c>
      <c r="O19" t="b">
        <v>0</v>
      </c>
      <c r="P19" t="b">
        <v>0</v>
      </c>
    </row>
    <row r="20" spans="1:16" x14ac:dyDescent="0.3">
      <c r="A20" s="1">
        <v>45676</v>
      </c>
      <c r="B20" t="s">
        <v>63</v>
      </c>
      <c r="C20">
        <v>7</v>
      </c>
      <c r="D20" t="s">
        <v>27</v>
      </c>
      <c r="E20" t="s">
        <v>28</v>
      </c>
      <c r="F20">
        <v>0</v>
      </c>
      <c r="G20">
        <v>0</v>
      </c>
      <c r="H20">
        <v>111.5</v>
      </c>
      <c r="I20">
        <v>110.4</v>
      </c>
      <c r="J20">
        <v>71</v>
      </c>
      <c r="K20">
        <v>4067</v>
      </c>
      <c r="L20">
        <v>6.9</v>
      </c>
      <c r="M20" t="s">
        <v>29</v>
      </c>
      <c r="N20" t="s">
        <v>34</v>
      </c>
      <c r="O20" t="b">
        <v>0</v>
      </c>
      <c r="P20" t="b">
        <v>0</v>
      </c>
    </row>
    <row r="21" spans="1:16" x14ac:dyDescent="0.3">
      <c r="A21" s="1">
        <v>45677</v>
      </c>
      <c r="B21" t="s">
        <v>16</v>
      </c>
      <c r="C21">
        <v>1</v>
      </c>
      <c r="D21" t="s">
        <v>17</v>
      </c>
      <c r="E21" t="s">
        <v>21</v>
      </c>
      <c r="F21">
        <v>38</v>
      </c>
      <c r="G21">
        <v>330</v>
      </c>
      <c r="H21">
        <v>111</v>
      </c>
      <c r="I21">
        <v>110.2</v>
      </c>
      <c r="J21">
        <v>170</v>
      </c>
      <c r="K21">
        <v>11070</v>
      </c>
      <c r="L21">
        <v>6.1</v>
      </c>
      <c r="M21" t="s">
        <v>19</v>
      </c>
      <c r="N21" t="s">
        <v>24</v>
      </c>
      <c r="O21" t="b">
        <v>0</v>
      </c>
      <c r="P21" t="b">
        <v>0</v>
      </c>
    </row>
    <row r="22" spans="1:16" x14ac:dyDescent="0.3">
      <c r="A22" s="1">
        <v>45678</v>
      </c>
      <c r="B22" t="s">
        <v>39</v>
      </c>
      <c r="C22">
        <v>2</v>
      </c>
      <c r="D22" t="s">
        <v>40</v>
      </c>
      <c r="E22" t="s">
        <v>43</v>
      </c>
      <c r="F22">
        <v>69</v>
      </c>
      <c r="G22">
        <v>662</v>
      </c>
      <c r="H22">
        <v>113.1</v>
      </c>
      <c r="I22">
        <v>109.9</v>
      </c>
      <c r="J22">
        <v>131</v>
      </c>
      <c r="K22">
        <v>6433</v>
      </c>
      <c r="L22">
        <v>8.6999999999999993</v>
      </c>
      <c r="M22" t="s">
        <v>22</v>
      </c>
      <c r="N22" t="s">
        <v>44</v>
      </c>
      <c r="O22" t="b">
        <v>0</v>
      </c>
      <c r="P22" t="b">
        <v>0</v>
      </c>
    </row>
    <row r="23" spans="1:16" x14ac:dyDescent="0.3">
      <c r="A23" s="1">
        <v>45679</v>
      </c>
      <c r="B23" t="s">
        <v>54</v>
      </c>
      <c r="C23">
        <v>3</v>
      </c>
      <c r="D23" t="s">
        <v>27</v>
      </c>
      <c r="E23" t="s">
        <v>28</v>
      </c>
      <c r="F23">
        <v>0</v>
      </c>
      <c r="G23">
        <v>0</v>
      </c>
      <c r="H23">
        <v>111.7</v>
      </c>
      <c r="I23">
        <v>109.7</v>
      </c>
      <c r="J23">
        <v>65</v>
      </c>
      <c r="K23">
        <v>4376</v>
      </c>
      <c r="L23">
        <v>7.7</v>
      </c>
      <c r="M23" t="s">
        <v>29</v>
      </c>
      <c r="N23" t="s">
        <v>47</v>
      </c>
      <c r="O23" t="b">
        <v>0</v>
      </c>
      <c r="P23" t="b">
        <v>0</v>
      </c>
    </row>
    <row r="24" spans="1:16" x14ac:dyDescent="0.3">
      <c r="A24" s="1">
        <v>45680</v>
      </c>
      <c r="B24" t="s">
        <v>55</v>
      </c>
      <c r="C24">
        <v>4</v>
      </c>
      <c r="D24" t="s">
        <v>36</v>
      </c>
      <c r="E24" t="s">
        <v>56</v>
      </c>
      <c r="F24">
        <v>45</v>
      </c>
      <c r="G24">
        <v>117</v>
      </c>
      <c r="H24">
        <v>112.9</v>
      </c>
      <c r="I24">
        <v>109.5</v>
      </c>
      <c r="J24">
        <v>84</v>
      </c>
      <c r="K24">
        <v>5657</v>
      </c>
      <c r="L24">
        <v>7.1</v>
      </c>
      <c r="M24" t="s">
        <v>29</v>
      </c>
      <c r="N24" t="s">
        <v>58</v>
      </c>
      <c r="O24" t="b">
        <v>0</v>
      </c>
      <c r="P24" t="b">
        <v>0</v>
      </c>
    </row>
    <row r="25" spans="1:16" x14ac:dyDescent="0.3">
      <c r="A25" s="1">
        <v>45681</v>
      </c>
      <c r="B25" t="s">
        <v>59</v>
      </c>
      <c r="C25">
        <v>5</v>
      </c>
      <c r="D25" t="s">
        <v>17</v>
      </c>
      <c r="E25" t="s">
        <v>21</v>
      </c>
      <c r="F25">
        <v>46</v>
      </c>
      <c r="G25">
        <v>396</v>
      </c>
      <c r="H25">
        <v>111</v>
      </c>
      <c r="I25">
        <v>109.3</v>
      </c>
      <c r="J25">
        <v>154</v>
      </c>
      <c r="K25">
        <v>9616</v>
      </c>
      <c r="L25">
        <v>7.1</v>
      </c>
      <c r="M25" t="s">
        <v>22</v>
      </c>
      <c r="N25" t="s">
        <v>35</v>
      </c>
      <c r="O25" t="b">
        <v>0</v>
      </c>
      <c r="P25" t="b">
        <v>0</v>
      </c>
    </row>
    <row r="26" spans="1:16" x14ac:dyDescent="0.3">
      <c r="A26" s="1">
        <v>45682</v>
      </c>
      <c r="B26" t="s">
        <v>61</v>
      </c>
      <c r="C26">
        <v>6</v>
      </c>
      <c r="D26" t="s">
        <v>40</v>
      </c>
      <c r="E26" t="s">
        <v>43</v>
      </c>
      <c r="F26">
        <v>78</v>
      </c>
      <c r="G26">
        <v>803</v>
      </c>
      <c r="H26">
        <v>112</v>
      </c>
      <c r="I26">
        <v>109.1</v>
      </c>
      <c r="J26">
        <v>142</v>
      </c>
      <c r="K26">
        <v>5643</v>
      </c>
      <c r="L26">
        <v>9.5</v>
      </c>
      <c r="M26" t="s">
        <v>19</v>
      </c>
      <c r="N26" t="s">
        <v>62</v>
      </c>
      <c r="O26" t="b">
        <v>0</v>
      </c>
      <c r="P26" t="b">
        <v>0</v>
      </c>
    </row>
    <row r="27" spans="1:16" x14ac:dyDescent="0.3">
      <c r="A27" s="1">
        <v>45683</v>
      </c>
      <c r="B27" t="s">
        <v>63</v>
      </c>
      <c r="C27">
        <v>7</v>
      </c>
      <c r="D27" t="s">
        <v>27</v>
      </c>
      <c r="E27" t="s">
        <v>28</v>
      </c>
      <c r="F27">
        <v>0</v>
      </c>
      <c r="G27">
        <v>0</v>
      </c>
      <c r="H27">
        <v>110.3</v>
      </c>
      <c r="I27">
        <v>108.9</v>
      </c>
      <c r="J27">
        <v>68</v>
      </c>
      <c r="K27">
        <v>5464</v>
      </c>
      <c r="L27">
        <v>8.9</v>
      </c>
      <c r="M27" t="s">
        <v>29</v>
      </c>
      <c r="N27" t="s">
        <v>47</v>
      </c>
      <c r="O27" t="b">
        <v>0</v>
      </c>
      <c r="P27" t="b">
        <v>0</v>
      </c>
    </row>
    <row r="28" spans="1:16" x14ac:dyDescent="0.3">
      <c r="A28" s="1">
        <v>45684</v>
      </c>
      <c r="B28" t="s">
        <v>16</v>
      </c>
      <c r="C28">
        <v>1</v>
      </c>
      <c r="D28" t="s">
        <v>17</v>
      </c>
      <c r="E28" t="s">
        <v>25</v>
      </c>
      <c r="F28">
        <v>45</v>
      </c>
      <c r="G28">
        <v>419</v>
      </c>
      <c r="H28">
        <v>110.7</v>
      </c>
      <c r="I28">
        <v>108.7</v>
      </c>
      <c r="J28">
        <v>161</v>
      </c>
      <c r="K28">
        <v>8636</v>
      </c>
      <c r="L28">
        <v>6.4</v>
      </c>
      <c r="M28" t="s">
        <v>19</v>
      </c>
      <c r="N28" t="s">
        <v>26</v>
      </c>
      <c r="O28" t="b">
        <v>0</v>
      </c>
      <c r="P28" t="b">
        <v>0</v>
      </c>
    </row>
    <row r="29" spans="1:16" x14ac:dyDescent="0.3">
      <c r="A29" s="1">
        <v>45685</v>
      </c>
      <c r="B29" t="s">
        <v>39</v>
      </c>
      <c r="C29">
        <v>2</v>
      </c>
      <c r="D29" t="s">
        <v>40</v>
      </c>
      <c r="E29" t="s">
        <v>41</v>
      </c>
      <c r="F29">
        <v>68</v>
      </c>
      <c r="G29">
        <v>499</v>
      </c>
      <c r="H29">
        <v>110.5</v>
      </c>
      <c r="I29">
        <v>108.5</v>
      </c>
      <c r="J29">
        <v>148</v>
      </c>
      <c r="K29">
        <v>7106</v>
      </c>
      <c r="L29">
        <v>7.7</v>
      </c>
      <c r="M29" t="s">
        <v>19</v>
      </c>
      <c r="N29" t="s">
        <v>45</v>
      </c>
      <c r="O29" t="b">
        <v>0</v>
      </c>
      <c r="P29" t="b">
        <v>0</v>
      </c>
    </row>
    <row r="30" spans="1:16" x14ac:dyDescent="0.3">
      <c r="A30" s="1">
        <v>45686</v>
      </c>
      <c r="B30" t="s">
        <v>54</v>
      </c>
      <c r="C30">
        <v>3</v>
      </c>
      <c r="D30" t="s">
        <v>17</v>
      </c>
      <c r="E30" t="s">
        <v>18</v>
      </c>
      <c r="F30">
        <v>79</v>
      </c>
      <c r="G30">
        <v>739</v>
      </c>
      <c r="H30">
        <v>111.5</v>
      </c>
      <c r="I30">
        <v>108.3</v>
      </c>
      <c r="J30">
        <v>147</v>
      </c>
      <c r="K30">
        <v>9218</v>
      </c>
      <c r="L30">
        <v>8.1</v>
      </c>
      <c r="M30" t="s">
        <v>22</v>
      </c>
      <c r="N30" t="s">
        <v>20</v>
      </c>
      <c r="O30" t="b">
        <v>0</v>
      </c>
      <c r="P30" t="b">
        <v>0</v>
      </c>
    </row>
    <row r="31" spans="1:16" x14ac:dyDescent="0.3">
      <c r="A31" s="1">
        <v>45687</v>
      </c>
      <c r="B31" t="s">
        <v>55</v>
      </c>
      <c r="C31">
        <v>4</v>
      </c>
      <c r="D31" t="s">
        <v>36</v>
      </c>
      <c r="E31" t="s">
        <v>56</v>
      </c>
      <c r="F31">
        <v>44</v>
      </c>
      <c r="G31">
        <v>153</v>
      </c>
      <c r="H31">
        <v>111.3</v>
      </c>
      <c r="I31">
        <v>108.1</v>
      </c>
      <c r="J31">
        <v>83</v>
      </c>
      <c r="K31">
        <v>4755</v>
      </c>
      <c r="L31">
        <v>7.5</v>
      </c>
      <c r="M31" t="s">
        <v>29</v>
      </c>
      <c r="N31" t="s">
        <v>57</v>
      </c>
      <c r="O31" t="b">
        <v>0</v>
      </c>
      <c r="P31" t="b">
        <v>0</v>
      </c>
    </row>
    <row r="32" spans="1:16" x14ac:dyDescent="0.3">
      <c r="A32" s="1">
        <v>45688</v>
      </c>
      <c r="B32" t="s">
        <v>59</v>
      </c>
      <c r="C32">
        <v>5</v>
      </c>
      <c r="D32" t="s">
        <v>17</v>
      </c>
      <c r="E32" t="s">
        <v>21</v>
      </c>
      <c r="F32">
        <v>31</v>
      </c>
      <c r="G32">
        <v>311</v>
      </c>
      <c r="H32">
        <v>111.6</v>
      </c>
      <c r="I32">
        <v>107.9</v>
      </c>
      <c r="J32">
        <v>148</v>
      </c>
      <c r="K32">
        <v>11724</v>
      </c>
      <c r="L32">
        <v>6.7</v>
      </c>
      <c r="M32" t="s">
        <v>22</v>
      </c>
      <c r="N32" t="s">
        <v>31</v>
      </c>
      <c r="O32" t="b">
        <v>0</v>
      </c>
      <c r="P32" t="b">
        <v>0</v>
      </c>
    </row>
    <row r="33" spans="1:16" x14ac:dyDescent="0.3">
      <c r="A33" s="1">
        <v>45689</v>
      </c>
      <c r="B33" t="s">
        <v>61</v>
      </c>
      <c r="C33">
        <v>6</v>
      </c>
      <c r="D33" t="s">
        <v>40</v>
      </c>
      <c r="E33" t="s">
        <v>41</v>
      </c>
      <c r="F33">
        <v>24</v>
      </c>
      <c r="G33">
        <v>169</v>
      </c>
      <c r="H33">
        <v>109.5</v>
      </c>
      <c r="I33">
        <v>107.7</v>
      </c>
      <c r="J33">
        <v>133</v>
      </c>
      <c r="K33">
        <v>5131</v>
      </c>
      <c r="L33">
        <v>6.8</v>
      </c>
      <c r="M33" t="s">
        <v>19</v>
      </c>
      <c r="N33" t="s">
        <v>46</v>
      </c>
      <c r="O33" t="b">
        <v>0</v>
      </c>
      <c r="P33" t="b">
        <v>0</v>
      </c>
    </row>
    <row r="34" spans="1:16" x14ac:dyDescent="0.3">
      <c r="A34" s="1">
        <v>45690</v>
      </c>
      <c r="B34" t="s">
        <v>63</v>
      </c>
      <c r="C34">
        <v>7</v>
      </c>
      <c r="D34" t="s">
        <v>27</v>
      </c>
      <c r="E34" t="s">
        <v>28</v>
      </c>
      <c r="F34">
        <v>0</v>
      </c>
      <c r="G34">
        <v>0</v>
      </c>
      <c r="H34">
        <v>111.3</v>
      </c>
      <c r="I34">
        <v>107.5</v>
      </c>
      <c r="J34">
        <v>71</v>
      </c>
      <c r="K34">
        <v>3440</v>
      </c>
      <c r="L34">
        <v>8.9</v>
      </c>
      <c r="M34" t="s">
        <v>29</v>
      </c>
      <c r="N34" t="s">
        <v>30</v>
      </c>
      <c r="O34" t="b">
        <v>0</v>
      </c>
      <c r="P34" t="b">
        <v>1</v>
      </c>
    </row>
    <row r="35" spans="1:16" x14ac:dyDescent="0.3">
      <c r="A35" s="1">
        <v>45691</v>
      </c>
      <c r="B35" t="s">
        <v>16</v>
      </c>
      <c r="C35">
        <v>1</v>
      </c>
      <c r="D35" t="s">
        <v>27</v>
      </c>
      <c r="E35" t="s">
        <v>28</v>
      </c>
      <c r="F35">
        <v>0</v>
      </c>
      <c r="G35">
        <v>0</v>
      </c>
      <c r="H35">
        <v>110.3</v>
      </c>
      <c r="I35">
        <v>107.3</v>
      </c>
      <c r="J35">
        <v>74</v>
      </c>
      <c r="K35">
        <v>3331</v>
      </c>
      <c r="L35">
        <v>7.9</v>
      </c>
      <c r="M35" t="s">
        <v>29</v>
      </c>
      <c r="N35" t="s">
        <v>30</v>
      </c>
      <c r="O35" t="b">
        <v>0</v>
      </c>
      <c r="P35" t="b">
        <v>1</v>
      </c>
    </row>
    <row r="36" spans="1:16" x14ac:dyDescent="0.3">
      <c r="A36" s="1">
        <v>45692</v>
      </c>
      <c r="B36" t="s">
        <v>39</v>
      </c>
      <c r="C36">
        <v>2</v>
      </c>
      <c r="D36" t="s">
        <v>27</v>
      </c>
      <c r="E36" t="s">
        <v>28</v>
      </c>
      <c r="F36">
        <v>0</v>
      </c>
      <c r="G36">
        <v>0</v>
      </c>
      <c r="H36">
        <v>111.9</v>
      </c>
      <c r="I36">
        <v>107.1</v>
      </c>
      <c r="J36">
        <v>73</v>
      </c>
      <c r="K36">
        <v>4123</v>
      </c>
      <c r="L36">
        <v>7.8</v>
      </c>
      <c r="M36" t="s">
        <v>29</v>
      </c>
      <c r="N36" t="s">
        <v>34</v>
      </c>
      <c r="O36" t="b">
        <v>0</v>
      </c>
      <c r="P36" t="b">
        <v>1</v>
      </c>
    </row>
    <row r="37" spans="1:16" x14ac:dyDescent="0.3">
      <c r="A37" s="1">
        <v>45693</v>
      </c>
      <c r="B37" t="s">
        <v>54</v>
      </c>
      <c r="C37">
        <v>3</v>
      </c>
      <c r="D37" t="s">
        <v>27</v>
      </c>
      <c r="E37" t="s">
        <v>28</v>
      </c>
      <c r="F37">
        <v>0</v>
      </c>
      <c r="G37">
        <v>0</v>
      </c>
      <c r="H37">
        <v>110.6</v>
      </c>
      <c r="I37">
        <v>106.9</v>
      </c>
      <c r="J37">
        <v>67</v>
      </c>
      <c r="K37">
        <v>5507</v>
      </c>
      <c r="L37">
        <v>7.9</v>
      </c>
      <c r="M37" t="s">
        <v>29</v>
      </c>
      <c r="N37" t="s">
        <v>47</v>
      </c>
      <c r="O37" t="b">
        <v>0</v>
      </c>
      <c r="P37" t="b">
        <v>1</v>
      </c>
    </row>
    <row r="38" spans="1:16" x14ac:dyDescent="0.3">
      <c r="A38" s="1">
        <v>45694</v>
      </c>
      <c r="B38" t="s">
        <v>55</v>
      </c>
      <c r="C38">
        <v>4</v>
      </c>
      <c r="D38" t="s">
        <v>27</v>
      </c>
      <c r="E38" t="s">
        <v>28</v>
      </c>
      <c r="F38">
        <v>0</v>
      </c>
      <c r="G38">
        <v>0</v>
      </c>
      <c r="H38">
        <v>112.6</v>
      </c>
      <c r="I38">
        <v>106.7</v>
      </c>
      <c r="J38">
        <v>71</v>
      </c>
      <c r="K38">
        <v>4190</v>
      </c>
      <c r="L38">
        <v>6</v>
      </c>
      <c r="M38" t="s">
        <v>29</v>
      </c>
      <c r="N38" t="s">
        <v>34</v>
      </c>
      <c r="O38" t="b">
        <v>0</v>
      </c>
      <c r="P38" t="b">
        <v>1</v>
      </c>
    </row>
    <row r="39" spans="1:16" x14ac:dyDescent="0.3">
      <c r="A39" s="1">
        <v>45695</v>
      </c>
      <c r="B39" t="s">
        <v>59</v>
      </c>
      <c r="C39">
        <v>5</v>
      </c>
      <c r="D39" t="s">
        <v>17</v>
      </c>
      <c r="E39" t="s">
        <v>32</v>
      </c>
      <c r="F39">
        <v>53</v>
      </c>
      <c r="G39">
        <v>481</v>
      </c>
      <c r="H39">
        <v>110</v>
      </c>
      <c r="I39">
        <v>106.6</v>
      </c>
      <c r="J39">
        <v>150</v>
      </c>
      <c r="K39">
        <v>10735</v>
      </c>
      <c r="L39">
        <v>7.5</v>
      </c>
      <c r="M39" t="s">
        <v>22</v>
      </c>
      <c r="N39" t="s">
        <v>24</v>
      </c>
      <c r="O39" t="b">
        <v>0</v>
      </c>
      <c r="P39" t="b">
        <v>0</v>
      </c>
    </row>
    <row r="40" spans="1:16" x14ac:dyDescent="0.3">
      <c r="A40" s="1">
        <v>45696</v>
      </c>
      <c r="B40" t="s">
        <v>61</v>
      </c>
      <c r="C40">
        <v>6</v>
      </c>
      <c r="D40" t="s">
        <v>40</v>
      </c>
      <c r="E40" t="s">
        <v>43</v>
      </c>
      <c r="F40">
        <v>34</v>
      </c>
      <c r="G40">
        <v>252</v>
      </c>
      <c r="H40">
        <v>111.3</v>
      </c>
      <c r="I40">
        <v>106.4</v>
      </c>
      <c r="J40">
        <v>131</v>
      </c>
      <c r="K40">
        <v>8282</v>
      </c>
      <c r="L40">
        <v>6.8</v>
      </c>
      <c r="M40" t="s">
        <v>22</v>
      </c>
      <c r="N40" t="s">
        <v>62</v>
      </c>
      <c r="O40" t="b">
        <v>0</v>
      </c>
      <c r="P40" t="b">
        <v>0</v>
      </c>
    </row>
    <row r="41" spans="1:16" x14ac:dyDescent="0.3">
      <c r="A41" s="1">
        <v>45697</v>
      </c>
      <c r="B41" t="s">
        <v>63</v>
      </c>
      <c r="C41">
        <v>7</v>
      </c>
      <c r="D41" t="s">
        <v>27</v>
      </c>
      <c r="E41" t="s">
        <v>28</v>
      </c>
      <c r="F41">
        <v>0</v>
      </c>
      <c r="G41">
        <v>0</v>
      </c>
      <c r="H41">
        <v>109.9</v>
      </c>
      <c r="I41">
        <v>106.2</v>
      </c>
      <c r="J41">
        <v>69</v>
      </c>
      <c r="K41">
        <v>5980</v>
      </c>
      <c r="L41">
        <v>6.8</v>
      </c>
      <c r="M41" t="s">
        <v>29</v>
      </c>
      <c r="N41" t="s">
        <v>34</v>
      </c>
      <c r="O41" t="b">
        <v>0</v>
      </c>
      <c r="P41" t="b">
        <v>0</v>
      </c>
    </row>
    <row r="42" spans="1:16" x14ac:dyDescent="0.3">
      <c r="A42" s="1">
        <v>45698</v>
      </c>
      <c r="B42" t="s">
        <v>16</v>
      </c>
      <c r="C42">
        <v>1</v>
      </c>
      <c r="D42" t="s">
        <v>17</v>
      </c>
      <c r="E42" t="s">
        <v>21</v>
      </c>
      <c r="F42">
        <v>54</v>
      </c>
      <c r="G42">
        <v>693</v>
      </c>
      <c r="H42">
        <v>109.6</v>
      </c>
      <c r="I42">
        <v>106</v>
      </c>
      <c r="J42">
        <v>141</v>
      </c>
      <c r="K42">
        <v>13759</v>
      </c>
      <c r="L42">
        <v>6.3</v>
      </c>
      <c r="M42" t="s">
        <v>22</v>
      </c>
      <c r="N42" t="s">
        <v>26</v>
      </c>
      <c r="O42" t="b">
        <v>0</v>
      </c>
      <c r="P42" t="b">
        <v>0</v>
      </c>
    </row>
    <row r="43" spans="1:16" x14ac:dyDescent="0.3">
      <c r="A43" s="1">
        <v>45699</v>
      </c>
      <c r="B43" t="s">
        <v>39</v>
      </c>
      <c r="C43">
        <v>2</v>
      </c>
      <c r="D43" t="s">
        <v>40</v>
      </c>
      <c r="E43" t="s">
        <v>43</v>
      </c>
      <c r="F43">
        <v>99</v>
      </c>
      <c r="G43">
        <v>847</v>
      </c>
      <c r="H43">
        <v>111.7</v>
      </c>
      <c r="I43">
        <v>105.8</v>
      </c>
      <c r="J43">
        <v>135</v>
      </c>
      <c r="K43">
        <v>8834</v>
      </c>
      <c r="L43">
        <v>9</v>
      </c>
      <c r="M43" t="s">
        <v>22</v>
      </c>
      <c r="N43" t="s">
        <v>42</v>
      </c>
      <c r="O43" t="b">
        <v>0</v>
      </c>
      <c r="P43" t="b">
        <v>0</v>
      </c>
    </row>
    <row r="44" spans="1:16" x14ac:dyDescent="0.3">
      <c r="A44" s="1">
        <v>45700</v>
      </c>
      <c r="B44" t="s">
        <v>54</v>
      </c>
      <c r="C44">
        <v>3</v>
      </c>
      <c r="D44" t="s">
        <v>17</v>
      </c>
      <c r="E44" t="s">
        <v>18</v>
      </c>
      <c r="F44">
        <v>28</v>
      </c>
      <c r="G44">
        <v>364</v>
      </c>
      <c r="H44">
        <v>111.1</v>
      </c>
      <c r="I44">
        <v>105.7</v>
      </c>
      <c r="J44">
        <v>147</v>
      </c>
      <c r="K44">
        <v>9637</v>
      </c>
      <c r="L44">
        <v>6.6</v>
      </c>
      <c r="M44" t="s">
        <v>22</v>
      </c>
      <c r="N44" t="s">
        <v>26</v>
      </c>
      <c r="O44" t="b">
        <v>0</v>
      </c>
      <c r="P44" t="b">
        <v>0</v>
      </c>
    </row>
    <row r="45" spans="1:16" x14ac:dyDescent="0.3">
      <c r="A45" s="1">
        <v>45701</v>
      </c>
      <c r="B45" t="s">
        <v>55</v>
      </c>
      <c r="C45">
        <v>4</v>
      </c>
      <c r="D45" t="s">
        <v>49</v>
      </c>
      <c r="E45" t="s">
        <v>50</v>
      </c>
      <c r="F45">
        <v>62</v>
      </c>
      <c r="G45">
        <v>653</v>
      </c>
      <c r="H45">
        <v>111.2</v>
      </c>
      <c r="I45">
        <v>105.5</v>
      </c>
      <c r="J45">
        <v>153</v>
      </c>
      <c r="K45">
        <v>14113</v>
      </c>
      <c r="L45">
        <v>6</v>
      </c>
      <c r="M45" t="s">
        <v>22</v>
      </c>
      <c r="N45" t="s">
        <v>53</v>
      </c>
      <c r="O45" t="b">
        <v>0</v>
      </c>
      <c r="P45" t="b">
        <v>0</v>
      </c>
    </row>
    <row r="46" spans="1:16" x14ac:dyDescent="0.3">
      <c r="A46" s="1">
        <v>45702</v>
      </c>
      <c r="B46" t="s">
        <v>59</v>
      </c>
      <c r="C46">
        <v>5</v>
      </c>
      <c r="D46" t="s">
        <v>17</v>
      </c>
      <c r="E46" t="s">
        <v>25</v>
      </c>
      <c r="F46">
        <v>57</v>
      </c>
      <c r="G46">
        <v>857</v>
      </c>
      <c r="H46">
        <v>111.2</v>
      </c>
      <c r="I46">
        <v>105.3</v>
      </c>
      <c r="J46">
        <v>148</v>
      </c>
      <c r="K46">
        <v>14443</v>
      </c>
      <c r="L46">
        <v>8.1999999999999993</v>
      </c>
      <c r="M46" t="s">
        <v>22</v>
      </c>
      <c r="N46" t="s">
        <v>23</v>
      </c>
      <c r="O46" t="b">
        <v>0</v>
      </c>
      <c r="P46" t="b">
        <v>0</v>
      </c>
    </row>
    <row r="47" spans="1:16" x14ac:dyDescent="0.3">
      <c r="A47" s="1">
        <v>45703</v>
      </c>
      <c r="B47" t="s">
        <v>61</v>
      </c>
      <c r="C47">
        <v>6</v>
      </c>
      <c r="D47" t="s">
        <v>27</v>
      </c>
      <c r="E47" t="s">
        <v>28</v>
      </c>
      <c r="F47">
        <v>0</v>
      </c>
      <c r="G47">
        <v>0</v>
      </c>
      <c r="H47">
        <v>110</v>
      </c>
      <c r="I47">
        <v>105.1</v>
      </c>
      <c r="J47">
        <v>73</v>
      </c>
      <c r="K47">
        <v>4506</v>
      </c>
      <c r="L47">
        <v>7.4</v>
      </c>
      <c r="M47" t="s">
        <v>29</v>
      </c>
      <c r="N47" t="s">
        <v>47</v>
      </c>
      <c r="O47" t="b">
        <v>0</v>
      </c>
      <c r="P47" t="b">
        <v>0</v>
      </c>
    </row>
    <row r="48" spans="1:16" x14ac:dyDescent="0.3">
      <c r="A48" s="1">
        <v>45704</v>
      </c>
      <c r="B48" t="s">
        <v>63</v>
      </c>
      <c r="C48">
        <v>7</v>
      </c>
      <c r="D48" t="s">
        <v>27</v>
      </c>
      <c r="E48" t="s">
        <v>28</v>
      </c>
      <c r="F48">
        <v>0</v>
      </c>
      <c r="G48">
        <v>0</v>
      </c>
      <c r="H48">
        <v>108.9</v>
      </c>
      <c r="I48">
        <v>105</v>
      </c>
      <c r="J48">
        <v>75</v>
      </c>
      <c r="K48">
        <v>3606</v>
      </c>
      <c r="L48">
        <v>8</v>
      </c>
      <c r="M48" t="s">
        <v>29</v>
      </c>
      <c r="N48" t="s">
        <v>30</v>
      </c>
      <c r="O48" t="b">
        <v>0</v>
      </c>
      <c r="P48" t="b">
        <v>0</v>
      </c>
    </row>
    <row r="49" spans="1:16" x14ac:dyDescent="0.3">
      <c r="A49" s="1">
        <v>45705</v>
      </c>
      <c r="B49" t="s">
        <v>16</v>
      </c>
      <c r="C49">
        <v>1</v>
      </c>
      <c r="D49" t="s">
        <v>17</v>
      </c>
      <c r="E49" t="s">
        <v>18</v>
      </c>
      <c r="F49">
        <v>54</v>
      </c>
      <c r="G49">
        <v>590</v>
      </c>
      <c r="H49">
        <v>107.3</v>
      </c>
      <c r="I49">
        <v>104.8</v>
      </c>
      <c r="J49">
        <v>147</v>
      </c>
      <c r="K49">
        <v>9363</v>
      </c>
      <c r="L49">
        <v>6.5</v>
      </c>
      <c r="M49" t="s">
        <v>22</v>
      </c>
      <c r="N49" t="s">
        <v>31</v>
      </c>
      <c r="O49" t="b">
        <v>0</v>
      </c>
      <c r="P49" t="b">
        <v>0</v>
      </c>
    </row>
    <row r="50" spans="1:16" x14ac:dyDescent="0.3">
      <c r="A50" s="1">
        <v>45706</v>
      </c>
      <c r="B50" t="s">
        <v>39</v>
      </c>
      <c r="C50">
        <v>2</v>
      </c>
      <c r="D50" t="s">
        <v>40</v>
      </c>
      <c r="E50" t="s">
        <v>43</v>
      </c>
      <c r="F50">
        <v>40</v>
      </c>
      <c r="G50">
        <v>412</v>
      </c>
      <c r="H50">
        <v>109.2</v>
      </c>
      <c r="I50">
        <v>104.6</v>
      </c>
      <c r="J50">
        <v>152</v>
      </c>
      <c r="K50">
        <v>7322</v>
      </c>
      <c r="L50">
        <v>6.7</v>
      </c>
      <c r="M50" t="s">
        <v>22</v>
      </c>
      <c r="N50" t="s">
        <v>44</v>
      </c>
      <c r="O50" t="b">
        <v>0</v>
      </c>
      <c r="P50" t="b">
        <v>0</v>
      </c>
    </row>
    <row r="51" spans="1:16" x14ac:dyDescent="0.3">
      <c r="A51" s="1">
        <v>45707</v>
      </c>
      <c r="B51" t="s">
        <v>54</v>
      </c>
      <c r="C51">
        <v>3</v>
      </c>
      <c r="D51" t="s">
        <v>17</v>
      </c>
      <c r="E51" t="s">
        <v>25</v>
      </c>
      <c r="F51">
        <v>57</v>
      </c>
      <c r="G51">
        <v>549</v>
      </c>
      <c r="H51">
        <v>109.4</v>
      </c>
      <c r="I51">
        <v>104.5</v>
      </c>
      <c r="J51">
        <v>148</v>
      </c>
      <c r="K51">
        <v>13233</v>
      </c>
      <c r="L51">
        <v>6.7</v>
      </c>
      <c r="M51" t="s">
        <v>19</v>
      </c>
      <c r="N51" t="s">
        <v>24</v>
      </c>
      <c r="O51" t="b">
        <v>0</v>
      </c>
      <c r="P51" t="b">
        <v>0</v>
      </c>
    </row>
    <row r="52" spans="1:16" x14ac:dyDescent="0.3">
      <c r="A52" s="1">
        <v>45708</v>
      </c>
      <c r="B52" t="s">
        <v>55</v>
      </c>
      <c r="C52">
        <v>4</v>
      </c>
      <c r="D52" t="s">
        <v>36</v>
      </c>
      <c r="E52" t="s">
        <v>37</v>
      </c>
      <c r="F52">
        <v>21</v>
      </c>
      <c r="G52">
        <v>70</v>
      </c>
      <c r="H52">
        <v>108.5</v>
      </c>
      <c r="I52">
        <v>104.3</v>
      </c>
      <c r="J52">
        <v>90</v>
      </c>
      <c r="K52">
        <v>5426</v>
      </c>
      <c r="L52">
        <v>6.5</v>
      </c>
      <c r="M52" t="s">
        <v>29</v>
      </c>
      <c r="N52" t="s">
        <v>38</v>
      </c>
      <c r="O52" t="b">
        <v>0</v>
      </c>
      <c r="P52" t="b">
        <v>0</v>
      </c>
    </row>
    <row r="53" spans="1:16" x14ac:dyDescent="0.3">
      <c r="A53" s="1">
        <v>45709</v>
      </c>
      <c r="B53" t="s">
        <v>59</v>
      </c>
      <c r="C53">
        <v>5</v>
      </c>
      <c r="D53" t="s">
        <v>17</v>
      </c>
      <c r="E53" t="s">
        <v>32</v>
      </c>
      <c r="F53">
        <v>66</v>
      </c>
      <c r="G53">
        <v>980</v>
      </c>
      <c r="H53">
        <v>108.1</v>
      </c>
      <c r="I53">
        <v>104.2</v>
      </c>
      <c r="J53">
        <v>160</v>
      </c>
      <c r="K53">
        <v>10748</v>
      </c>
      <c r="L53">
        <v>7.2</v>
      </c>
      <c r="M53" t="s">
        <v>22</v>
      </c>
      <c r="N53" t="s">
        <v>35</v>
      </c>
      <c r="O53" t="b">
        <v>0</v>
      </c>
      <c r="P53" t="b">
        <v>0</v>
      </c>
    </row>
    <row r="54" spans="1:16" x14ac:dyDescent="0.3">
      <c r="A54" s="1">
        <v>45710</v>
      </c>
      <c r="B54" t="s">
        <v>61</v>
      </c>
      <c r="C54">
        <v>6</v>
      </c>
      <c r="D54" t="s">
        <v>40</v>
      </c>
      <c r="E54" t="s">
        <v>43</v>
      </c>
      <c r="F54">
        <v>31</v>
      </c>
      <c r="G54">
        <v>330</v>
      </c>
      <c r="H54">
        <v>107.3</v>
      </c>
      <c r="I54">
        <v>104</v>
      </c>
      <c r="J54">
        <v>143</v>
      </c>
      <c r="K54">
        <v>8904</v>
      </c>
      <c r="L54">
        <v>7.3</v>
      </c>
      <c r="M54" t="s">
        <v>19</v>
      </c>
      <c r="N54" t="s">
        <v>46</v>
      </c>
      <c r="O54" t="b">
        <v>0</v>
      </c>
      <c r="P54" t="b">
        <v>0</v>
      </c>
    </row>
    <row r="55" spans="1:16" x14ac:dyDescent="0.3">
      <c r="A55" s="1">
        <v>45711</v>
      </c>
      <c r="B55" t="s">
        <v>63</v>
      </c>
      <c r="C55">
        <v>7</v>
      </c>
      <c r="D55" t="s">
        <v>27</v>
      </c>
      <c r="E55" t="s">
        <v>28</v>
      </c>
      <c r="F55">
        <v>0</v>
      </c>
      <c r="G55">
        <v>0</v>
      </c>
      <c r="H55">
        <v>108.2</v>
      </c>
      <c r="I55">
        <v>103.8</v>
      </c>
      <c r="J55">
        <v>65</v>
      </c>
      <c r="K55">
        <v>3975</v>
      </c>
      <c r="L55">
        <v>7.2</v>
      </c>
      <c r="M55" t="s">
        <v>29</v>
      </c>
      <c r="N55" t="s">
        <v>30</v>
      </c>
      <c r="O55" t="b">
        <v>0</v>
      </c>
      <c r="P55" t="b">
        <v>0</v>
      </c>
    </row>
    <row r="56" spans="1:16" x14ac:dyDescent="0.3">
      <c r="A56" s="1">
        <v>45712</v>
      </c>
      <c r="B56" t="s">
        <v>16</v>
      </c>
      <c r="C56">
        <v>1</v>
      </c>
      <c r="D56" t="s">
        <v>17</v>
      </c>
      <c r="E56" t="s">
        <v>32</v>
      </c>
      <c r="F56">
        <v>41</v>
      </c>
      <c r="G56">
        <v>454</v>
      </c>
      <c r="H56">
        <v>107.7</v>
      </c>
      <c r="I56">
        <v>103.7</v>
      </c>
      <c r="J56">
        <v>151</v>
      </c>
      <c r="K56">
        <v>8678</v>
      </c>
      <c r="L56">
        <v>7.1</v>
      </c>
      <c r="M56" t="s">
        <v>22</v>
      </c>
      <c r="N56" t="s">
        <v>26</v>
      </c>
      <c r="O56" t="b">
        <v>0</v>
      </c>
      <c r="P56" t="b">
        <v>0</v>
      </c>
    </row>
    <row r="57" spans="1:16" x14ac:dyDescent="0.3">
      <c r="A57" s="1">
        <v>45713</v>
      </c>
      <c r="B57" t="s">
        <v>39</v>
      </c>
      <c r="C57">
        <v>2</v>
      </c>
      <c r="D57" t="s">
        <v>40</v>
      </c>
      <c r="E57" t="s">
        <v>41</v>
      </c>
      <c r="F57">
        <v>63</v>
      </c>
      <c r="G57">
        <v>486</v>
      </c>
      <c r="H57">
        <v>107.5</v>
      </c>
      <c r="I57">
        <v>103.5</v>
      </c>
      <c r="J57">
        <v>152</v>
      </c>
      <c r="K57">
        <v>5195</v>
      </c>
      <c r="L57">
        <v>7.2</v>
      </c>
      <c r="M57" t="s">
        <v>19</v>
      </c>
      <c r="N57" t="s">
        <v>44</v>
      </c>
      <c r="O57" t="b">
        <v>0</v>
      </c>
      <c r="P57" t="b">
        <v>0</v>
      </c>
    </row>
    <row r="58" spans="1:16" x14ac:dyDescent="0.3">
      <c r="A58" s="1">
        <v>45714</v>
      </c>
      <c r="B58" t="s">
        <v>54</v>
      </c>
      <c r="C58">
        <v>3</v>
      </c>
      <c r="D58" t="s">
        <v>27</v>
      </c>
      <c r="E58" t="s">
        <v>28</v>
      </c>
      <c r="F58">
        <v>0</v>
      </c>
      <c r="G58">
        <v>0</v>
      </c>
      <c r="H58">
        <v>109.3</v>
      </c>
      <c r="I58">
        <v>103.4</v>
      </c>
      <c r="J58">
        <v>67</v>
      </c>
      <c r="K58">
        <v>5749</v>
      </c>
      <c r="L58">
        <v>7.9</v>
      </c>
      <c r="M58" t="s">
        <v>29</v>
      </c>
      <c r="N58" t="s">
        <v>47</v>
      </c>
      <c r="O58" t="b">
        <v>0</v>
      </c>
      <c r="P58" t="b">
        <v>0</v>
      </c>
    </row>
    <row r="59" spans="1:16" x14ac:dyDescent="0.3">
      <c r="A59" s="1">
        <v>45715</v>
      </c>
      <c r="B59" t="s">
        <v>55</v>
      </c>
      <c r="C59">
        <v>4</v>
      </c>
      <c r="D59" t="s">
        <v>36</v>
      </c>
      <c r="E59" t="s">
        <v>56</v>
      </c>
      <c r="F59">
        <v>59</v>
      </c>
      <c r="G59">
        <v>131</v>
      </c>
      <c r="H59">
        <v>108</v>
      </c>
      <c r="I59">
        <v>103.2</v>
      </c>
      <c r="J59">
        <v>99</v>
      </c>
      <c r="K59">
        <v>4333</v>
      </c>
      <c r="L59">
        <v>7.5</v>
      </c>
      <c r="M59" t="s">
        <v>29</v>
      </c>
      <c r="N59" t="s">
        <v>58</v>
      </c>
      <c r="O59" t="b">
        <v>0</v>
      </c>
      <c r="P59" t="b">
        <v>0</v>
      </c>
    </row>
    <row r="60" spans="1:16" x14ac:dyDescent="0.3">
      <c r="A60" s="1">
        <v>45716</v>
      </c>
      <c r="B60" t="s">
        <v>59</v>
      </c>
      <c r="C60">
        <v>5</v>
      </c>
      <c r="D60" t="s">
        <v>17</v>
      </c>
      <c r="E60" t="s">
        <v>21</v>
      </c>
      <c r="F60">
        <v>51</v>
      </c>
      <c r="G60">
        <v>547</v>
      </c>
      <c r="H60">
        <v>108.6</v>
      </c>
      <c r="I60">
        <v>103.1</v>
      </c>
      <c r="J60">
        <v>155</v>
      </c>
      <c r="K60">
        <v>10379</v>
      </c>
      <c r="L60">
        <v>7.3</v>
      </c>
      <c r="M60" t="s">
        <v>19</v>
      </c>
      <c r="N60" t="s">
        <v>26</v>
      </c>
      <c r="O60" t="b">
        <v>0</v>
      </c>
      <c r="P60" t="b">
        <v>0</v>
      </c>
    </row>
    <row r="61" spans="1:16" x14ac:dyDescent="0.3">
      <c r="A61" s="1">
        <v>45717</v>
      </c>
      <c r="B61" t="s">
        <v>61</v>
      </c>
      <c r="C61">
        <v>6</v>
      </c>
      <c r="D61" t="s">
        <v>17</v>
      </c>
      <c r="E61" t="s">
        <v>21</v>
      </c>
      <c r="F61">
        <v>30</v>
      </c>
      <c r="G61">
        <v>230</v>
      </c>
      <c r="H61">
        <v>107.5</v>
      </c>
      <c r="I61">
        <v>102.9</v>
      </c>
      <c r="J61">
        <v>152</v>
      </c>
      <c r="K61">
        <v>8740</v>
      </c>
      <c r="L61">
        <v>7.7</v>
      </c>
      <c r="M61" t="s">
        <v>22</v>
      </c>
      <c r="N61" t="s">
        <v>24</v>
      </c>
      <c r="O61" t="b">
        <v>0</v>
      </c>
      <c r="P61" t="b">
        <v>0</v>
      </c>
    </row>
    <row r="62" spans="1:16" x14ac:dyDescent="0.3">
      <c r="A62" s="1">
        <v>45718</v>
      </c>
      <c r="B62" t="s">
        <v>63</v>
      </c>
      <c r="C62">
        <v>7</v>
      </c>
      <c r="D62" t="s">
        <v>27</v>
      </c>
      <c r="E62" t="s">
        <v>28</v>
      </c>
      <c r="F62">
        <v>0</v>
      </c>
      <c r="G62">
        <v>0</v>
      </c>
      <c r="H62">
        <v>107</v>
      </c>
      <c r="I62">
        <v>102.8</v>
      </c>
      <c r="J62">
        <v>70</v>
      </c>
      <c r="K62">
        <v>5320</v>
      </c>
      <c r="L62">
        <v>7.4</v>
      </c>
      <c r="M62" t="s">
        <v>29</v>
      </c>
      <c r="N62" t="s">
        <v>34</v>
      </c>
      <c r="O62" t="b">
        <v>0</v>
      </c>
      <c r="P62" t="b">
        <v>0</v>
      </c>
    </row>
    <row r="63" spans="1:16" x14ac:dyDescent="0.3">
      <c r="A63" s="1">
        <v>45719</v>
      </c>
      <c r="B63" t="s">
        <v>16</v>
      </c>
      <c r="C63">
        <v>1</v>
      </c>
      <c r="D63" t="s">
        <v>17</v>
      </c>
      <c r="E63" t="s">
        <v>18</v>
      </c>
      <c r="F63">
        <v>76</v>
      </c>
      <c r="G63">
        <v>1253</v>
      </c>
      <c r="H63">
        <v>107.4</v>
      </c>
      <c r="I63">
        <v>102.6</v>
      </c>
      <c r="J63">
        <v>144</v>
      </c>
      <c r="K63">
        <v>14744</v>
      </c>
      <c r="L63">
        <v>6.1</v>
      </c>
      <c r="M63" t="s">
        <v>19</v>
      </c>
      <c r="N63" t="s">
        <v>33</v>
      </c>
      <c r="O63" t="b">
        <v>0</v>
      </c>
      <c r="P63" t="b">
        <v>0</v>
      </c>
    </row>
    <row r="64" spans="1:16" x14ac:dyDescent="0.3">
      <c r="A64" s="1">
        <v>45720</v>
      </c>
      <c r="B64" t="s">
        <v>39</v>
      </c>
      <c r="C64">
        <v>2</v>
      </c>
      <c r="D64" t="s">
        <v>40</v>
      </c>
      <c r="E64" t="s">
        <v>43</v>
      </c>
      <c r="F64">
        <v>66</v>
      </c>
      <c r="G64">
        <v>402</v>
      </c>
      <c r="H64">
        <v>107.5</v>
      </c>
      <c r="I64">
        <v>102.5</v>
      </c>
      <c r="J64">
        <v>153</v>
      </c>
      <c r="K64">
        <v>5301</v>
      </c>
      <c r="L64">
        <v>7.2</v>
      </c>
      <c r="M64" t="s">
        <v>19</v>
      </c>
      <c r="N64" t="s">
        <v>46</v>
      </c>
      <c r="O64" t="b">
        <v>0</v>
      </c>
      <c r="P64" t="b">
        <v>0</v>
      </c>
    </row>
    <row r="65" spans="1:16" x14ac:dyDescent="0.3">
      <c r="A65" s="1">
        <v>45721</v>
      </c>
      <c r="B65" t="s">
        <v>54</v>
      </c>
      <c r="C65">
        <v>3</v>
      </c>
      <c r="D65" t="s">
        <v>17</v>
      </c>
      <c r="E65" t="s">
        <v>18</v>
      </c>
      <c r="F65">
        <v>55</v>
      </c>
      <c r="G65">
        <v>682</v>
      </c>
      <c r="H65">
        <v>108.4</v>
      </c>
      <c r="I65">
        <v>102.4</v>
      </c>
      <c r="J65">
        <v>149</v>
      </c>
      <c r="K65">
        <v>12313</v>
      </c>
      <c r="L65">
        <v>6.1</v>
      </c>
      <c r="M65" t="s">
        <v>19</v>
      </c>
      <c r="N65" t="s">
        <v>23</v>
      </c>
      <c r="O65" t="b">
        <v>0</v>
      </c>
      <c r="P65" t="b">
        <v>0</v>
      </c>
    </row>
    <row r="66" spans="1:16" x14ac:dyDescent="0.3">
      <c r="A66" s="1">
        <v>45722</v>
      </c>
      <c r="B66" t="s">
        <v>55</v>
      </c>
      <c r="C66">
        <v>4</v>
      </c>
      <c r="D66" t="s">
        <v>36</v>
      </c>
      <c r="E66" t="s">
        <v>56</v>
      </c>
      <c r="F66">
        <v>27</v>
      </c>
      <c r="G66">
        <v>86</v>
      </c>
      <c r="H66">
        <v>107.8</v>
      </c>
      <c r="I66">
        <v>102.2</v>
      </c>
      <c r="J66">
        <v>97</v>
      </c>
      <c r="K66">
        <v>5548</v>
      </c>
      <c r="L66">
        <v>7.4</v>
      </c>
      <c r="M66" t="s">
        <v>29</v>
      </c>
      <c r="N66" t="s">
        <v>38</v>
      </c>
      <c r="O66" t="b">
        <v>0</v>
      </c>
      <c r="P66" t="b">
        <v>0</v>
      </c>
    </row>
    <row r="67" spans="1:16" x14ac:dyDescent="0.3">
      <c r="A67" s="1">
        <v>45723</v>
      </c>
      <c r="B67" t="s">
        <v>59</v>
      </c>
      <c r="C67">
        <v>5</v>
      </c>
      <c r="D67" t="s">
        <v>17</v>
      </c>
      <c r="E67" t="s">
        <v>18</v>
      </c>
      <c r="F67">
        <v>39</v>
      </c>
      <c r="G67">
        <v>466</v>
      </c>
      <c r="H67">
        <v>107.6</v>
      </c>
      <c r="I67">
        <v>102.1</v>
      </c>
      <c r="J67">
        <v>157</v>
      </c>
      <c r="K67">
        <v>10045</v>
      </c>
      <c r="L67">
        <v>7.6</v>
      </c>
      <c r="M67" t="s">
        <v>22</v>
      </c>
      <c r="N67" t="s">
        <v>26</v>
      </c>
      <c r="O67" t="b">
        <v>0</v>
      </c>
      <c r="P67" t="b">
        <v>0</v>
      </c>
    </row>
    <row r="68" spans="1:16" x14ac:dyDescent="0.3">
      <c r="A68" s="1">
        <v>45724</v>
      </c>
      <c r="B68" t="s">
        <v>61</v>
      </c>
      <c r="C68">
        <v>6</v>
      </c>
      <c r="D68" t="s">
        <v>40</v>
      </c>
      <c r="E68" t="s">
        <v>41</v>
      </c>
      <c r="F68">
        <v>51</v>
      </c>
      <c r="G68">
        <v>394</v>
      </c>
      <c r="H68">
        <v>107.5</v>
      </c>
      <c r="I68">
        <v>101.9</v>
      </c>
      <c r="J68">
        <v>138</v>
      </c>
      <c r="K68">
        <v>6209</v>
      </c>
      <c r="L68">
        <v>7.9</v>
      </c>
      <c r="M68" t="s">
        <v>22</v>
      </c>
      <c r="N68" t="s">
        <v>46</v>
      </c>
      <c r="O68" t="b">
        <v>0</v>
      </c>
      <c r="P68" t="b">
        <v>0</v>
      </c>
    </row>
    <row r="69" spans="1:16" x14ac:dyDescent="0.3">
      <c r="A69" s="1">
        <v>45725</v>
      </c>
      <c r="B69" t="s">
        <v>63</v>
      </c>
      <c r="C69">
        <v>7</v>
      </c>
      <c r="D69" t="s">
        <v>27</v>
      </c>
      <c r="E69" t="s">
        <v>28</v>
      </c>
      <c r="F69">
        <v>0</v>
      </c>
      <c r="G69">
        <v>0</v>
      </c>
      <c r="H69">
        <v>107.5</v>
      </c>
      <c r="I69">
        <v>101.8</v>
      </c>
      <c r="J69">
        <v>71</v>
      </c>
      <c r="K69">
        <v>3447</v>
      </c>
      <c r="L69">
        <v>8.6</v>
      </c>
      <c r="M69" t="s">
        <v>29</v>
      </c>
      <c r="N69" t="s">
        <v>30</v>
      </c>
      <c r="O69" t="b">
        <v>0</v>
      </c>
      <c r="P69" t="b">
        <v>0</v>
      </c>
    </row>
    <row r="70" spans="1:16" x14ac:dyDescent="0.3">
      <c r="A70" s="1">
        <v>45726</v>
      </c>
      <c r="B70" t="s">
        <v>16</v>
      </c>
      <c r="C70">
        <v>1</v>
      </c>
      <c r="D70" t="s">
        <v>17</v>
      </c>
      <c r="E70" t="s">
        <v>25</v>
      </c>
      <c r="F70">
        <v>19</v>
      </c>
      <c r="G70">
        <v>232</v>
      </c>
      <c r="H70">
        <v>106.6</v>
      </c>
      <c r="I70">
        <v>101.7</v>
      </c>
      <c r="J70">
        <v>142</v>
      </c>
      <c r="K70">
        <v>14505</v>
      </c>
      <c r="L70">
        <v>6.4</v>
      </c>
      <c r="M70" t="s">
        <v>22</v>
      </c>
      <c r="N70" t="s">
        <v>24</v>
      </c>
      <c r="O70" t="b">
        <v>0</v>
      </c>
      <c r="P70" t="b">
        <v>0</v>
      </c>
    </row>
    <row r="71" spans="1:16" x14ac:dyDescent="0.3">
      <c r="A71" s="1">
        <v>45727</v>
      </c>
      <c r="B71" t="s">
        <v>39</v>
      </c>
      <c r="C71">
        <v>2</v>
      </c>
      <c r="D71" t="s">
        <v>40</v>
      </c>
      <c r="E71" t="s">
        <v>41</v>
      </c>
      <c r="F71">
        <v>111</v>
      </c>
      <c r="G71">
        <v>735</v>
      </c>
      <c r="H71">
        <v>106.3</v>
      </c>
      <c r="I71">
        <v>101.5</v>
      </c>
      <c r="J71">
        <v>137</v>
      </c>
      <c r="K71">
        <v>5167</v>
      </c>
      <c r="L71">
        <v>7.6</v>
      </c>
      <c r="M71" t="s">
        <v>19</v>
      </c>
      <c r="N71" t="s">
        <v>45</v>
      </c>
      <c r="O71" t="b">
        <v>0</v>
      </c>
      <c r="P71" t="b">
        <v>0</v>
      </c>
    </row>
    <row r="72" spans="1:16" x14ac:dyDescent="0.3">
      <c r="A72" s="1">
        <v>45728</v>
      </c>
      <c r="B72" t="s">
        <v>54</v>
      </c>
      <c r="C72">
        <v>3</v>
      </c>
      <c r="D72" t="s">
        <v>17</v>
      </c>
      <c r="E72" t="s">
        <v>25</v>
      </c>
      <c r="F72">
        <v>39</v>
      </c>
      <c r="G72">
        <v>398</v>
      </c>
      <c r="H72">
        <v>107.5</v>
      </c>
      <c r="I72">
        <v>101.4</v>
      </c>
      <c r="J72">
        <v>161</v>
      </c>
      <c r="K72">
        <v>13651</v>
      </c>
      <c r="L72">
        <v>7.1</v>
      </c>
      <c r="M72" t="s">
        <v>19</v>
      </c>
      <c r="N72" t="s">
        <v>20</v>
      </c>
      <c r="O72" t="b">
        <v>0</v>
      </c>
      <c r="P72" t="b">
        <v>0</v>
      </c>
    </row>
    <row r="73" spans="1:16" x14ac:dyDescent="0.3">
      <c r="A73" s="1">
        <v>45729</v>
      </c>
      <c r="B73" t="s">
        <v>55</v>
      </c>
      <c r="C73">
        <v>4</v>
      </c>
      <c r="D73" t="s">
        <v>36</v>
      </c>
      <c r="E73" t="s">
        <v>37</v>
      </c>
      <c r="F73">
        <v>46</v>
      </c>
      <c r="G73">
        <v>218</v>
      </c>
      <c r="H73">
        <v>108.5</v>
      </c>
      <c r="I73">
        <v>101.3</v>
      </c>
      <c r="J73">
        <v>81</v>
      </c>
      <c r="K73">
        <v>4433</v>
      </c>
      <c r="L73">
        <v>9</v>
      </c>
      <c r="M73" t="s">
        <v>29</v>
      </c>
      <c r="N73" t="s">
        <v>38</v>
      </c>
      <c r="O73" t="b">
        <v>0</v>
      </c>
      <c r="P73" t="b">
        <v>0</v>
      </c>
    </row>
    <row r="74" spans="1:16" x14ac:dyDescent="0.3">
      <c r="A74" s="1">
        <v>45730</v>
      </c>
      <c r="B74" t="s">
        <v>59</v>
      </c>
      <c r="C74">
        <v>5</v>
      </c>
      <c r="D74" t="s">
        <v>17</v>
      </c>
      <c r="E74" t="s">
        <v>32</v>
      </c>
      <c r="F74">
        <v>72</v>
      </c>
      <c r="G74">
        <v>880</v>
      </c>
      <c r="H74">
        <v>107.1</v>
      </c>
      <c r="I74">
        <v>101.1</v>
      </c>
      <c r="J74">
        <v>156</v>
      </c>
      <c r="K74">
        <v>11698</v>
      </c>
      <c r="L74">
        <v>7.5</v>
      </c>
      <c r="M74" t="s">
        <v>22</v>
      </c>
      <c r="N74" t="s">
        <v>35</v>
      </c>
      <c r="O74" t="b">
        <v>0</v>
      </c>
      <c r="P74" t="b">
        <v>0</v>
      </c>
    </row>
    <row r="75" spans="1:16" x14ac:dyDescent="0.3">
      <c r="A75" s="1">
        <v>45731</v>
      </c>
      <c r="B75" t="s">
        <v>61</v>
      </c>
      <c r="C75">
        <v>6</v>
      </c>
      <c r="D75" t="s">
        <v>40</v>
      </c>
      <c r="E75" t="s">
        <v>43</v>
      </c>
      <c r="F75">
        <v>43</v>
      </c>
      <c r="G75">
        <v>385</v>
      </c>
      <c r="H75">
        <v>105.8</v>
      </c>
      <c r="I75">
        <v>101</v>
      </c>
      <c r="J75">
        <v>154</v>
      </c>
      <c r="K75">
        <v>5875</v>
      </c>
      <c r="L75">
        <v>7.9</v>
      </c>
      <c r="M75" t="s">
        <v>19</v>
      </c>
      <c r="N75" t="s">
        <v>44</v>
      </c>
      <c r="O75" t="b">
        <v>0</v>
      </c>
      <c r="P75" t="b">
        <v>0</v>
      </c>
    </row>
    <row r="76" spans="1:16" x14ac:dyDescent="0.3">
      <c r="A76" s="1">
        <v>45732</v>
      </c>
      <c r="B76" t="s">
        <v>63</v>
      </c>
      <c r="C76">
        <v>7</v>
      </c>
      <c r="D76" t="s">
        <v>27</v>
      </c>
      <c r="E76" t="s">
        <v>28</v>
      </c>
      <c r="F76">
        <v>0</v>
      </c>
      <c r="G76">
        <v>0</v>
      </c>
      <c r="H76">
        <v>106.4</v>
      </c>
      <c r="I76">
        <v>100.9</v>
      </c>
      <c r="J76">
        <v>67</v>
      </c>
      <c r="K76">
        <v>4943</v>
      </c>
      <c r="L76">
        <v>7.5</v>
      </c>
      <c r="M76" t="s">
        <v>29</v>
      </c>
      <c r="N76" t="s">
        <v>47</v>
      </c>
      <c r="O76" t="b">
        <v>0</v>
      </c>
      <c r="P76" t="b">
        <v>0</v>
      </c>
    </row>
    <row r="77" spans="1:16" x14ac:dyDescent="0.3">
      <c r="A77" s="1">
        <v>45733</v>
      </c>
      <c r="B77" t="s">
        <v>16</v>
      </c>
      <c r="C77">
        <v>1</v>
      </c>
      <c r="D77" t="s">
        <v>17</v>
      </c>
      <c r="E77" t="s">
        <v>25</v>
      </c>
      <c r="F77">
        <v>55</v>
      </c>
      <c r="G77">
        <v>533</v>
      </c>
      <c r="H77">
        <v>105.5</v>
      </c>
      <c r="I77">
        <v>100.8</v>
      </c>
      <c r="J77">
        <v>167</v>
      </c>
      <c r="K77">
        <v>11136</v>
      </c>
      <c r="L77">
        <v>7.8</v>
      </c>
      <c r="M77" t="s">
        <v>22</v>
      </c>
      <c r="N77" t="s">
        <v>31</v>
      </c>
      <c r="O77" t="b">
        <v>0</v>
      </c>
      <c r="P77" t="b">
        <v>0</v>
      </c>
    </row>
    <row r="78" spans="1:16" x14ac:dyDescent="0.3">
      <c r="A78" s="1">
        <v>45734</v>
      </c>
      <c r="B78" t="s">
        <v>39</v>
      </c>
      <c r="C78">
        <v>2</v>
      </c>
      <c r="D78" t="s">
        <v>17</v>
      </c>
      <c r="E78" t="s">
        <v>18</v>
      </c>
      <c r="F78">
        <v>37</v>
      </c>
      <c r="G78">
        <v>453</v>
      </c>
      <c r="H78">
        <v>107.2</v>
      </c>
      <c r="I78">
        <v>100.6</v>
      </c>
      <c r="J78">
        <v>163</v>
      </c>
      <c r="K78">
        <v>8746</v>
      </c>
      <c r="L78">
        <v>6.7</v>
      </c>
      <c r="M78" t="s">
        <v>22</v>
      </c>
      <c r="N78" t="s">
        <v>24</v>
      </c>
      <c r="O78" t="b">
        <v>0</v>
      </c>
      <c r="P78" t="b">
        <v>0</v>
      </c>
    </row>
    <row r="79" spans="1:16" x14ac:dyDescent="0.3">
      <c r="A79" s="1">
        <v>45735</v>
      </c>
      <c r="B79" t="s">
        <v>54</v>
      </c>
      <c r="C79">
        <v>3</v>
      </c>
      <c r="D79" t="s">
        <v>17</v>
      </c>
      <c r="E79" t="s">
        <v>25</v>
      </c>
      <c r="F79">
        <v>59</v>
      </c>
      <c r="G79">
        <v>650</v>
      </c>
      <c r="H79">
        <v>107.5</v>
      </c>
      <c r="I79">
        <v>100.5</v>
      </c>
      <c r="J79">
        <v>165</v>
      </c>
      <c r="K79">
        <v>12197</v>
      </c>
      <c r="L79">
        <v>6</v>
      </c>
      <c r="M79" t="s">
        <v>22</v>
      </c>
      <c r="N79" t="s">
        <v>26</v>
      </c>
      <c r="O79" t="b">
        <v>0</v>
      </c>
      <c r="P79" t="b">
        <v>0</v>
      </c>
    </row>
    <row r="80" spans="1:16" x14ac:dyDescent="0.3">
      <c r="A80" s="1">
        <v>45736</v>
      </c>
      <c r="B80" t="s">
        <v>55</v>
      </c>
      <c r="C80">
        <v>4</v>
      </c>
      <c r="D80" t="s">
        <v>36</v>
      </c>
      <c r="E80" t="s">
        <v>37</v>
      </c>
      <c r="F80">
        <v>60</v>
      </c>
      <c r="G80">
        <v>286</v>
      </c>
      <c r="H80">
        <v>105.8</v>
      </c>
      <c r="I80">
        <v>100.4</v>
      </c>
      <c r="J80">
        <v>99</v>
      </c>
      <c r="K80">
        <v>4708</v>
      </c>
      <c r="L80">
        <v>8</v>
      </c>
      <c r="M80" t="s">
        <v>29</v>
      </c>
      <c r="N80" t="s">
        <v>57</v>
      </c>
      <c r="O80" t="b">
        <v>0</v>
      </c>
      <c r="P80" t="b">
        <v>0</v>
      </c>
    </row>
    <row r="81" spans="1:16" x14ac:dyDescent="0.3">
      <c r="A81" s="1">
        <v>45737</v>
      </c>
      <c r="B81" t="s">
        <v>59</v>
      </c>
      <c r="C81">
        <v>5</v>
      </c>
      <c r="D81" t="s">
        <v>17</v>
      </c>
      <c r="E81" t="s">
        <v>25</v>
      </c>
      <c r="F81">
        <v>14</v>
      </c>
      <c r="G81">
        <v>104</v>
      </c>
      <c r="H81">
        <v>105.7</v>
      </c>
      <c r="I81">
        <v>100.3</v>
      </c>
      <c r="J81">
        <v>167</v>
      </c>
      <c r="K81">
        <v>9585</v>
      </c>
      <c r="L81">
        <v>6</v>
      </c>
      <c r="M81" t="s">
        <v>22</v>
      </c>
      <c r="N81" t="s">
        <v>20</v>
      </c>
      <c r="O81" t="b">
        <v>0</v>
      </c>
      <c r="P81" t="b">
        <v>0</v>
      </c>
    </row>
    <row r="82" spans="1:16" x14ac:dyDescent="0.3">
      <c r="A82" s="1">
        <v>45738</v>
      </c>
      <c r="B82" t="s">
        <v>61</v>
      </c>
      <c r="C82">
        <v>6</v>
      </c>
      <c r="D82" t="s">
        <v>40</v>
      </c>
      <c r="E82" t="s">
        <v>43</v>
      </c>
      <c r="F82">
        <v>60</v>
      </c>
      <c r="G82">
        <v>444</v>
      </c>
      <c r="H82">
        <v>105.6</v>
      </c>
      <c r="I82">
        <v>100.1</v>
      </c>
      <c r="J82">
        <v>140</v>
      </c>
      <c r="K82">
        <v>8129</v>
      </c>
      <c r="L82">
        <v>7.8</v>
      </c>
      <c r="M82" t="s">
        <v>19</v>
      </c>
      <c r="N82" t="s">
        <v>46</v>
      </c>
      <c r="O82" t="b">
        <v>0</v>
      </c>
      <c r="P82" t="b">
        <v>0</v>
      </c>
    </row>
    <row r="83" spans="1:16" x14ac:dyDescent="0.3">
      <c r="A83" s="1">
        <v>45739</v>
      </c>
      <c r="B83" t="s">
        <v>63</v>
      </c>
      <c r="C83">
        <v>7</v>
      </c>
      <c r="D83" t="s">
        <v>27</v>
      </c>
      <c r="E83" t="s">
        <v>28</v>
      </c>
      <c r="F83">
        <v>0</v>
      </c>
      <c r="G83">
        <v>0</v>
      </c>
      <c r="H83">
        <v>104.9</v>
      </c>
      <c r="I83">
        <v>100</v>
      </c>
      <c r="J83">
        <v>74</v>
      </c>
      <c r="K83">
        <v>4355</v>
      </c>
      <c r="L83">
        <v>6.4</v>
      </c>
      <c r="M83" t="s">
        <v>29</v>
      </c>
      <c r="N83" t="s">
        <v>47</v>
      </c>
      <c r="O83" t="b">
        <v>0</v>
      </c>
      <c r="P83" t="b">
        <v>0</v>
      </c>
    </row>
    <row r="84" spans="1:16" x14ac:dyDescent="0.3">
      <c r="A84" s="1">
        <v>45740</v>
      </c>
      <c r="B84" t="s">
        <v>16</v>
      </c>
      <c r="C84">
        <v>1</v>
      </c>
      <c r="D84" t="s">
        <v>17</v>
      </c>
      <c r="E84" t="s">
        <v>25</v>
      </c>
      <c r="F84">
        <v>67</v>
      </c>
      <c r="G84">
        <v>807</v>
      </c>
      <c r="H84">
        <v>106.5</v>
      </c>
      <c r="I84">
        <v>99.9</v>
      </c>
      <c r="J84">
        <v>144</v>
      </c>
      <c r="K84">
        <v>13118</v>
      </c>
      <c r="L84">
        <v>9</v>
      </c>
      <c r="M84" t="s">
        <v>22</v>
      </c>
      <c r="N84" t="s">
        <v>26</v>
      </c>
      <c r="O84" t="b">
        <v>0</v>
      </c>
      <c r="P84" t="b">
        <v>0</v>
      </c>
    </row>
    <row r="85" spans="1:16" x14ac:dyDescent="0.3">
      <c r="A85" s="1">
        <v>45741</v>
      </c>
      <c r="B85" t="s">
        <v>39</v>
      </c>
      <c r="C85">
        <v>2</v>
      </c>
      <c r="D85" t="s">
        <v>27</v>
      </c>
      <c r="E85" t="s">
        <v>28</v>
      </c>
      <c r="F85">
        <v>0</v>
      </c>
      <c r="G85">
        <v>0</v>
      </c>
      <c r="H85">
        <v>104.5</v>
      </c>
      <c r="I85">
        <v>99.8</v>
      </c>
      <c r="J85">
        <v>69</v>
      </c>
      <c r="K85">
        <v>5301</v>
      </c>
      <c r="L85">
        <v>8</v>
      </c>
      <c r="M85" t="s">
        <v>29</v>
      </c>
      <c r="N85" t="s">
        <v>34</v>
      </c>
      <c r="O85" t="b">
        <v>0</v>
      </c>
      <c r="P85" t="b">
        <v>0</v>
      </c>
    </row>
    <row r="86" spans="1:16" x14ac:dyDescent="0.3">
      <c r="A86" s="1">
        <v>45742</v>
      </c>
      <c r="B86" t="s">
        <v>54</v>
      </c>
      <c r="C86">
        <v>3</v>
      </c>
      <c r="D86" t="s">
        <v>17</v>
      </c>
      <c r="E86" t="s">
        <v>21</v>
      </c>
      <c r="F86">
        <v>27</v>
      </c>
      <c r="G86">
        <v>308</v>
      </c>
      <c r="H86">
        <v>105.5</v>
      </c>
      <c r="I86">
        <v>99.7</v>
      </c>
      <c r="J86">
        <v>146</v>
      </c>
      <c r="K86">
        <v>12085</v>
      </c>
      <c r="L86">
        <v>6.3</v>
      </c>
      <c r="M86" t="s">
        <v>22</v>
      </c>
      <c r="N86" t="s">
        <v>23</v>
      </c>
      <c r="O86" t="b">
        <v>0</v>
      </c>
      <c r="P86" t="b">
        <v>0</v>
      </c>
    </row>
    <row r="87" spans="1:16" x14ac:dyDescent="0.3">
      <c r="A87" s="1">
        <v>45743</v>
      </c>
      <c r="B87" t="s">
        <v>55</v>
      </c>
      <c r="C87">
        <v>4</v>
      </c>
      <c r="D87" t="s">
        <v>36</v>
      </c>
      <c r="E87" t="s">
        <v>56</v>
      </c>
      <c r="F87">
        <v>44</v>
      </c>
      <c r="G87">
        <v>142</v>
      </c>
      <c r="H87">
        <v>105.5</v>
      </c>
      <c r="I87">
        <v>99.6</v>
      </c>
      <c r="J87">
        <v>100</v>
      </c>
      <c r="K87">
        <v>5026</v>
      </c>
      <c r="L87">
        <v>7.7</v>
      </c>
      <c r="M87" t="s">
        <v>29</v>
      </c>
      <c r="N87" t="s">
        <v>57</v>
      </c>
      <c r="O87" t="b">
        <v>0</v>
      </c>
      <c r="P87" t="b">
        <v>0</v>
      </c>
    </row>
    <row r="88" spans="1:16" x14ac:dyDescent="0.3">
      <c r="A88" s="1">
        <v>45744</v>
      </c>
      <c r="B88" t="s">
        <v>59</v>
      </c>
      <c r="C88">
        <v>5</v>
      </c>
      <c r="D88" t="s">
        <v>17</v>
      </c>
      <c r="E88" t="s">
        <v>25</v>
      </c>
      <c r="F88">
        <v>27</v>
      </c>
      <c r="G88">
        <v>346</v>
      </c>
      <c r="H88">
        <v>105.5</v>
      </c>
      <c r="I88">
        <v>99.4</v>
      </c>
      <c r="J88">
        <v>140</v>
      </c>
      <c r="K88">
        <v>12101</v>
      </c>
      <c r="L88">
        <v>6.7</v>
      </c>
      <c r="M88" t="s">
        <v>22</v>
      </c>
      <c r="N88" t="s">
        <v>23</v>
      </c>
      <c r="O88" t="b">
        <v>0</v>
      </c>
      <c r="P88" t="b">
        <v>0</v>
      </c>
    </row>
    <row r="89" spans="1:16" x14ac:dyDescent="0.3">
      <c r="A89" s="1">
        <v>45745</v>
      </c>
      <c r="B89" t="s">
        <v>61</v>
      </c>
      <c r="C89">
        <v>6</v>
      </c>
      <c r="D89" t="s">
        <v>49</v>
      </c>
      <c r="E89" t="s">
        <v>50</v>
      </c>
      <c r="F89">
        <v>75</v>
      </c>
      <c r="G89">
        <v>699</v>
      </c>
      <c r="H89">
        <v>105.3</v>
      </c>
      <c r="I89">
        <v>99.3</v>
      </c>
      <c r="J89">
        <v>171</v>
      </c>
      <c r="K89">
        <v>13299</v>
      </c>
      <c r="L89">
        <v>8.9</v>
      </c>
      <c r="M89" t="s">
        <v>22</v>
      </c>
      <c r="N89" t="s">
        <v>53</v>
      </c>
      <c r="O89" t="b">
        <v>0</v>
      </c>
      <c r="P89" t="b">
        <v>0</v>
      </c>
    </row>
    <row r="90" spans="1:16" x14ac:dyDescent="0.3">
      <c r="A90" s="1">
        <v>45746</v>
      </c>
      <c r="B90" t="s">
        <v>63</v>
      </c>
      <c r="C90">
        <v>7</v>
      </c>
      <c r="D90" t="s">
        <v>27</v>
      </c>
      <c r="E90" t="s">
        <v>28</v>
      </c>
      <c r="F90">
        <v>0</v>
      </c>
      <c r="G90">
        <v>0</v>
      </c>
      <c r="H90">
        <v>104.8</v>
      </c>
      <c r="I90">
        <v>99.2</v>
      </c>
      <c r="J90">
        <v>74</v>
      </c>
      <c r="K90">
        <v>4161</v>
      </c>
      <c r="L90">
        <v>8.8000000000000007</v>
      </c>
      <c r="M90" t="s">
        <v>29</v>
      </c>
      <c r="N90" t="s">
        <v>34</v>
      </c>
      <c r="O90" t="b">
        <v>0</v>
      </c>
      <c r="P90" t="b">
        <v>0</v>
      </c>
    </row>
    <row r="91" spans="1:16" x14ac:dyDescent="0.3">
      <c r="A91" s="1">
        <v>45747</v>
      </c>
      <c r="B91" t="s">
        <v>16</v>
      </c>
      <c r="C91">
        <v>1</v>
      </c>
      <c r="D91" t="s">
        <v>17</v>
      </c>
      <c r="E91" t="s">
        <v>25</v>
      </c>
      <c r="F91">
        <v>66</v>
      </c>
      <c r="G91">
        <v>587</v>
      </c>
      <c r="H91">
        <v>106</v>
      </c>
      <c r="I91">
        <v>99.1</v>
      </c>
      <c r="J91">
        <v>162</v>
      </c>
      <c r="K91">
        <v>12934</v>
      </c>
      <c r="L91">
        <v>8.3000000000000007</v>
      </c>
      <c r="M91" t="s">
        <v>22</v>
      </c>
      <c r="N91" t="s">
        <v>26</v>
      </c>
      <c r="O91" t="b">
        <v>0</v>
      </c>
      <c r="P91" t="b">
        <v>0</v>
      </c>
    </row>
    <row r="92" spans="1:16" x14ac:dyDescent="0.3">
      <c r="A92" s="1">
        <v>45748</v>
      </c>
      <c r="B92" t="s">
        <v>39</v>
      </c>
      <c r="C92">
        <v>2</v>
      </c>
      <c r="D92" t="s">
        <v>27</v>
      </c>
      <c r="E92" t="s">
        <v>28</v>
      </c>
      <c r="F92">
        <v>0</v>
      </c>
      <c r="G92">
        <v>0</v>
      </c>
      <c r="H92">
        <v>106.3</v>
      </c>
      <c r="I92">
        <v>99</v>
      </c>
      <c r="J92">
        <v>68</v>
      </c>
      <c r="K92">
        <v>3768</v>
      </c>
      <c r="L92">
        <v>7.5</v>
      </c>
      <c r="M92" t="s">
        <v>29</v>
      </c>
      <c r="N92" t="s">
        <v>47</v>
      </c>
      <c r="O92" t="b">
        <v>0</v>
      </c>
      <c r="P92" t="b">
        <v>0</v>
      </c>
    </row>
    <row r="93" spans="1:16" x14ac:dyDescent="0.3">
      <c r="A93" s="1">
        <v>45749</v>
      </c>
      <c r="B93" t="s">
        <v>54</v>
      </c>
      <c r="C93">
        <v>3</v>
      </c>
      <c r="D93" t="s">
        <v>17</v>
      </c>
      <c r="E93" t="s">
        <v>18</v>
      </c>
      <c r="F93">
        <v>30</v>
      </c>
      <c r="G93">
        <v>400</v>
      </c>
      <c r="H93">
        <v>105.2</v>
      </c>
      <c r="I93">
        <v>98.9</v>
      </c>
      <c r="J93">
        <v>140</v>
      </c>
      <c r="K93">
        <v>8982</v>
      </c>
      <c r="L93">
        <v>7.8</v>
      </c>
      <c r="M93" t="s">
        <v>22</v>
      </c>
      <c r="N93" t="s">
        <v>20</v>
      </c>
      <c r="O93" t="b">
        <v>0</v>
      </c>
      <c r="P93" t="b">
        <v>0</v>
      </c>
    </row>
    <row r="94" spans="1:16" x14ac:dyDescent="0.3">
      <c r="A94" s="1">
        <v>45750</v>
      </c>
      <c r="B94" t="s">
        <v>55</v>
      </c>
      <c r="C94">
        <v>4</v>
      </c>
      <c r="D94" t="s">
        <v>36</v>
      </c>
      <c r="E94" t="s">
        <v>37</v>
      </c>
      <c r="F94">
        <v>27</v>
      </c>
      <c r="G94">
        <v>107</v>
      </c>
      <c r="H94">
        <v>106.3</v>
      </c>
      <c r="I94">
        <v>98.8</v>
      </c>
      <c r="J94">
        <v>88</v>
      </c>
      <c r="K94">
        <v>5217</v>
      </c>
      <c r="L94">
        <v>7.6</v>
      </c>
      <c r="M94" t="s">
        <v>29</v>
      </c>
      <c r="N94" t="s">
        <v>58</v>
      </c>
      <c r="O94" t="b">
        <v>0</v>
      </c>
      <c r="P94" t="b">
        <v>0</v>
      </c>
    </row>
    <row r="95" spans="1:16" x14ac:dyDescent="0.3">
      <c r="A95" s="1">
        <v>45751</v>
      </c>
      <c r="B95" t="s">
        <v>59</v>
      </c>
      <c r="C95">
        <v>5</v>
      </c>
      <c r="D95" t="s">
        <v>17</v>
      </c>
      <c r="E95" t="s">
        <v>18</v>
      </c>
      <c r="F95">
        <v>23</v>
      </c>
      <c r="G95">
        <v>166</v>
      </c>
      <c r="H95">
        <v>105.9</v>
      </c>
      <c r="I95">
        <v>98.7</v>
      </c>
      <c r="J95">
        <v>153</v>
      </c>
      <c r="K95">
        <v>10496</v>
      </c>
      <c r="L95">
        <v>6.8</v>
      </c>
      <c r="M95" t="s">
        <v>19</v>
      </c>
      <c r="N95" t="s">
        <v>24</v>
      </c>
      <c r="O95" t="b">
        <v>0</v>
      </c>
      <c r="P95" t="b">
        <v>0</v>
      </c>
    </row>
    <row r="96" spans="1:16" x14ac:dyDescent="0.3">
      <c r="A96" s="1">
        <v>45752</v>
      </c>
      <c r="B96" t="s">
        <v>61</v>
      </c>
      <c r="C96">
        <v>6</v>
      </c>
      <c r="D96" t="s">
        <v>40</v>
      </c>
      <c r="E96" t="s">
        <v>43</v>
      </c>
      <c r="F96">
        <v>45</v>
      </c>
      <c r="G96">
        <v>418</v>
      </c>
      <c r="H96">
        <v>104.5</v>
      </c>
      <c r="I96">
        <v>98.6</v>
      </c>
      <c r="J96">
        <v>157</v>
      </c>
      <c r="K96">
        <v>5129</v>
      </c>
      <c r="L96">
        <v>6</v>
      </c>
      <c r="M96" t="s">
        <v>22</v>
      </c>
      <c r="N96" t="s">
        <v>62</v>
      </c>
      <c r="O96" t="b">
        <v>0</v>
      </c>
      <c r="P96" t="b">
        <v>0</v>
      </c>
    </row>
    <row r="97" spans="1:16" x14ac:dyDescent="0.3">
      <c r="A97" s="1">
        <v>45753</v>
      </c>
      <c r="B97" t="s">
        <v>63</v>
      </c>
      <c r="C97">
        <v>7</v>
      </c>
      <c r="D97" t="s">
        <v>27</v>
      </c>
      <c r="E97" t="s">
        <v>28</v>
      </c>
      <c r="F97">
        <v>0</v>
      </c>
      <c r="G97">
        <v>0</v>
      </c>
      <c r="H97">
        <v>105.2</v>
      </c>
      <c r="I97">
        <v>98.5</v>
      </c>
      <c r="J97">
        <v>69</v>
      </c>
      <c r="K97">
        <v>3625</v>
      </c>
      <c r="L97">
        <v>6.3</v>
      </c>
      <c r="M97" t="s">
        <v>29</v>
      </c>
      <c r="N97" t="s">
        <v>47</v>
      </c>
      <c r="O97" t="b">
        <v>0</v>
      </c>
      <c r="P97" t="b">
        <v>0</v>
      </c>
    </row>
    <row r="98" spans="1:16" x14ac:dyDescent="0.3">
      <c r="A98" s="1">
        <v>45754</v>
      </c>
      <c r="B98" t="s">
        <v>16</v>
      </c>
      <c r="C98">
        <v>1</v>
      </c>
      <c r="D98" t="s">
        <v>17</v>
      </c>
      <c r="E98" t="s">
        <v>18</v>
      </c>
      <c r="F98">
        <v>17</v>
      </c>
      <c r="G98">
        <v>121</v>
      </c>
      <c r="H98">
        <v>104.7</v>
      </c>
      <c r="I98">
        <v>98.4</v>
      </c>
      <c r="J98">
        <v>159</v>
      </c>
      <c r="K98">
        <v>10535</v>
      </c>
      <c r="L98">
        <v>6.3</v>
      </c>
      <c r="M98" t="s">
        <v>19</v>
      </c>
      <c r="N98" t="s">
        <v>23</v>
      </c>
      <c r="O98" t="b">
        <v>0</v>
      </c>
      <c r="P98" t="b">
        <v>0</v>
      </c>
    </row>
    <row r="99" spans="1:16" x14ac:dyDescent="0.3">
      <c r="A99" s="1">
        <v>45755</v>
      </c>
      <c r="B99" t="s">
        <v>39</v>
      </c>
      <c r="C99">
        <v>2</v>
      </c>
      <c r="D99" t="s">
        <v>40</v>
      </c>
      <c r="E99" t="s">
        <v>41</v>
      </c>
      <c r="F99">
        <v>74</v>
      </c>
      <c r="G99">
        <v>803</v>
      </c>
      <c r="H99">
        <v>106.1</v>
      </c>
      <c r="I99">
        <v>98.3</v>
      </c>
      <c r="J99">
        <v>159</v>
      </c>
      <c r="K99">
        <v>7032</v>
      </c>
      <c r="L99">
        <v>8</v>
      </c>
      <c r="M99" t="s">
        <v>19</v>
      </c>
      <c r="N99" t="s">
        <v>46</v>
      </c>
      <c r="O99" t="b">
        <v>0</v>
      </c>
      <c r="P99" t="b">
        <v>0</v>
      </c>
    </row>
    <row r="100" spans="1:16" x14ac:dyDescent="0.3">
      <c r="A100" s="1">
        <v>45756</v>
      </c>
      <c r="B100" t="s">
        <v>54</v>
      </c>
      <c r="C100">
        <v>3</v>
      </c>
      <c r="D100" t="s">
        <v>17</v>
      </c>
      <c r="E100" t="s">
        <v>21</v>
      </c>
      <c r="F100">
        <v>63</v>
      </c>
      <c r="G100">
        <v>624</v>
      </c>
      <c r="H100">
        <v>105.8</v>
      </c>
      <c r="I100">
        <v>98.2</v>
      </c>
      <c r="J100">
        <v>151</v>
      </c>
      <c r="K100">
        <v>8237</v>
      </c>
      <c r="L100">
        <v>10</v>
      </c>
      <c r="M100" t="s">
        <v>19</v>
      </c>
      <c r="N100" t="s">
        <v>24</v>
      </c>
      <c r="O100" t="b">
        <v>0</v>
      </c>
      <c r="P100" t="b">
        <v>0</v>
      </c>
    </row>
    <row r="101" spans="1:16" x14ac:dyDescent="0.3">
      <c r="A101" s="1">
        <v>45757</v>
      </c>
      <c r="B101" t="s">
        <v>55</v>
      </c>
      <c r="C101">
        <v>4</v>
      </c>
      <c r="D101" t="s">
        <v>36</v>
      </c>
      <c r="E101" t="s">
        <v>37</v>
      </c>
      <c r="F101">
        <v>16</v>
      </c>
      <c r="G101">
        <v>44</v>
      </c>
      <c r="H101">
        <v>105.6</v>
      </c>
      <c r="I101">
        <v>98.1</v>
      </c>
      <c r="J101">
        <v>99</v>
      </c>
      <c r="K101">
        <v>6366</v>
      </c>
      <c r="L101">
        <v>6.8</v>
      </c>
      <c r="M101" t="s">
        <v>29</v>
      </c>
      <c r="N101" t="s">
        <v>57</v>
      </c>
      <c r="O101" t="b">
        <v>0</v>
      </c>
      <c r="P101" t="b">
        <v>0</v>
      </c>
    </row>
    <row r="102" spans="1:16" x14ac:dyDescent="0.3">
      <c r="A102" s="1">
        <v>45758</v>
      </c>
      <c r="B102" t="s">
        <v>59</v>
      </c>
      <c r="C102">
        <v>5</v>
      </c>
      <c r="D102" t="s">
        <v>17</v>
      </c>
      <c r="E102" t="s">
        <v>21</v>
      </c>
      <c r="F102">
        <v>53</v>
      </c>
      <c r="G102">
        <v>430</v>
      </c>
      <c r="H102">
        <v>106.6</v>
      </c>
      <c r="I102">
        <v>98</v>
      </c>
      <c r="J102">
        <v>145</v>
      </c>
      <c r="K102">
        <v>9422</v>
      </c>
      <c r="L102">
        <v>8.4</v>
      </c>
      <c r="M102" t="s">
        <v>19</v>
      </c>
      <c r="N102" t="s">
        <v>20</v>
      </c>
      <c r="O102" t="b">
        <v>0</v>
      </c>
      <c r="P102" t="b">
        <v>0</v>
      </c>
    </row>
    <row r="103" spans="1:16" x14ac:dyDescent="0.3">
      <c r="A103" s="1">
        <v>45759</v>
      </c>
      <c r="B103" t="s">
        <v>61</v>
      </c>
      <c r="C103">
        <v>6</v>
      </c>
      <c r="D103" t="s">
        <v>40</v>
      </c>
      <c r="E103" t="s">
        <v>41</v>
      </c>
      <c r="F103">
        <v>56</v>
      </c>
      <c r="G103">
        <v>481</v>
      </c>
      <c r="H103">
        <v>104.6</v>
      </c>
      <c r="I103">
        <v>97.9</v>
      </c>
      <c r="J103">
        <v>143</v>
      </c>
      <c r="K103">
        <v>5958</v>
      </c>
      <c r="L103">
        <v>7.6</v>
      </c>
      <c r="M103" t="s">
        <v>19</v>
      </c>
      <c r="N103" t="s">
        <v>48</v>
      </c>
      <c r="O103" t="b">
        <v>0</v>
      </c>
      <c r="P103" t="b">
        <v>0</v>
      </c>
    </row>
    <row r="104" spans="1:16" x14ac:dyDescent="0.3">
      <c r="A104" s="1">
        <v>45760</v>
      </c>
      <c r="B104" t="s">
        <v>63</v>
      </c>
      <c r="C104">
        <v>7</v>
      </c>
      <c r="D104" t="s">
        <v>27</v>
      </c>
      <c r="E104" t="s">
        <v>28</v>
      </c>
      <c r="F104">
        <v>0</v>
      </c>
      <c r="G104">
        <v>0</v>
      </c>
      <c r="H104">
        <v>104.6</v>
      </c>
      <c r="I104">
        <v>97.8</v>
      </c>
      <c r="J104">
        <v>70</v>
      </c>
      <c r="K104">
        <v>5917</v>
      </c>
      <c r="L104">
        <v>7.3</v>
      </c>
      <c r="M104" t="s">
        <v>29</v>
      </c>
      <c r="N104" t="s">
        <v>47</v>
      </c>
      <c r="O104" t="b">
        <v>0</v>
      </c>
      <c r="P104" t="b">
        <v>0</v>
      </c>
    </row>
    <row r="105" spans="1:16" x14ac:dyDescent="0.3">
      <c r="A105" s="1">
        <v>45761</v>
      </c>
      <c r="B105" t="s">
        <v>16</v>
      </c>
      <c r="C105">
        <v>1</v>
      </c>
      <c r="D105" t="s">
        <v>17</v>
      </c>
      <c r="E105" t="s">
        <v>25</v>
      </c>
      <c r="F105">
        <v>54</v>
      </c>
      <c r="G105">
        <v>752</v>
      </c>
      <c r="H105">
        <v>104.7</v>
      </c>
      <c r="I105">
        <v>97.7</v>
      </c>
      <c r="J105">
        <v>151</v>
      </c>
      <c r="K105">
        <v>14020</v>
      </c>
      <c r="L105">
        <v>7.9</v>
      </c>
      <c r="M105" t="s">
        <v>22</v>
      </c>
      <c r="N105" t="s">
        <v>31</v>
      </c>
      <c r="O105" t="b">
        <v>0</v>
      </c>
      <c r="P105" t="b">
        <v>0</v>
      </c>
    </row>
    <row r="106" spans="1:16" x14ac:dyDescent="0.3">
      <c r="A106" s="1">
        <v>45762</v>
      </c>
      <c r="B106" t="s">
        <v>39</v>
      </c>
      <c r="C106">
        <v>2</v>
      </c>
      <c r="D106" t="s">
        <v>40</v>
      </c>
      <c r="E106" t="s">
        <v>43</v>
      </c>
      <c r="F106">
        <v>65</v>
      </c>
      <c r="G106">
        <v>757</v>
      </c>
      <c r="H106">
        <v>105.4</v>
      </c>
      <c r="I106">
        <v>97.6</v>
      </c>
      <c r="J106">
        <v>157</v>
      </c>
      <c r="K106">
        <v>5092</v>
      </c>
      <c r="L106">
        <v>7.3</v>
      </c>
      <c r="M106" t="s">
        <v>19</v>
      </c>
      <c r="N106" t="s">
        <v>45</v>
      </c>
      <c r="O106" t="b">
        <v>0</v>
      </c>
      <c r="P106" t="b">
        <v>0</v>
      </c>
    </row>
    <row r="107" spans="1:16" x14ac:dyDescent="0.3">
      <c r="A107" s="1">
        <v>45763</v>
      </c>
      <c r="B107" t="s">
        <v>54</v>
      </c>
      <c r="C107">
        <v>3</v>
      </c>
      <c r="D107" t="s">
        <v>17</v>
      </c>
      <c r="E107" t="s">
        <v>18</v>
      </c>
      <c r="F107">
        <v>37</v>
      </c>
      <c r="G107">
        <v>372</v>
      </c>
      <c r="H107">
        <v>105.3</v>
      </c>
      <c r="I107">
        <v>97.5</v>
      </c>
      <c r="J107">
        <v>151</v>
      </c>
      <c r="K107">
        <v>9268</v>
      </c>
      <c r="L107">
        <v>7.5</v>
      </c>
      <c r="M107" t="s">
        <v>19</v>
      </c>
      <c r="N107" t="s">
        <v>23</v>
      </c>
      <c r="O107" t="b">
        <v>0</v>
      </c>
      <c r="P107" t="b">
        <v>0</v>
      </c>
    </row>
    <row r="108" spans="1:16" x14ac:dyDescent="0.3">
      <c r="A108" s="1">
        <v>45764</v>
      </c>
      <c r="B108" t="s">
        <v>55</v>
      </c>
      <c r="C108">
        <v>4</v>
      </c>
      <c r="D108" t="s">
        <v>40</v>
      </c>
      <c r="E108" t="s">
        <v>43</v>
      </c>
      <c r="F108">
        <v>43</v>
      </c>
      <c r="G108">
        <v>319</v>
      </c>
      <c r="H108">
        <v>104.5</v>
      </c>
      <c r="I108">
        <v>97.4</v>
      </c>
      <c r="J108">
        <v>133</v>
      </c>
      <c r="K108">
        <v>8431</v>
      </c>
      <c r="L108">
        <v>6.8</v>
      </c>
      <c r="M108" t="s">
        <v>22</v>
      </c>
      <c r="N108" t="s">
        <v>42</v>
      </c>
      <c r="O108" t="b">
        <v>0</v>
      </c>
      <c r="P108" t="b">
        <v>0</v>
      </c>
    </row>
    <row r="109" spans="1:16" x14ac:dyDescent="0.3">
      <c r="A109" s="1">
        <v>45765</v>
      </c>
      <c r="B109" t="s">
        <v>59</v>
      </c>
      <c r="C109">
        <v>5</v>
      </c>
      <c r="D109" t="s">
        <v>27</v>
      </c>
      <c r="E109" t="s">
        <v>28</v>
      </c>
      <c r="F109">
        <v>0</v>
      </c>
      <c r="G109">
        <v>0</v>
      </c>
      <c r="H109">
        <v>104.9</v>
      </c>
      <c r="I109">
        <v>97.3</v>
      </c>
      <c r="J109">
        <v>67</v>
      </c>
      <c r="K109">
        <v>5418</v>
      </c>
      <c r="L109">
        <v>6.2</v>
      </c>
      <c r="M109" t="s">
        <v>29</v>
      </c>
      <c r="N109" t="s">
        <v>30</v>
      </c>
      <c r="O109" t="b">
        <v>0</v>
      </c>
      <c r="P109" t="b">
        <v>0</v>
      </c>
    </row>
    <row r="110" spans="1:16" x14ac:dyDescent="0.3">
      <c r="A110" s="1">
        <v>45766</v>
      </c>
      <c r="B110" t="s">
        <v>61</v>
      </c>
      <c r="C110">
        <v>6</v>
      </c>
      <c r="D110" t="s">
        <v>40</v>
      </c>
      <c r="E110" t="s">
        <v>41</v>
      </c>
      <c r="F110">
        <v>35</v>
      </c>
      <c r="G110">
        <v>296</v>
      </c>
      <c r="H110">
        <v>103.3</v>
      </c>
      <c r="I110">
        <v>97.2</v>
      </c>
      <c r="J110">
        <v>135</v>
      </c>
      <c r="K110">
        <v>7417</v>
      </c>
      <c r="L110">
        <v>7.1</v>
      </c>
      <c r="M110" t="s">
        <v>19</v>
      </c>
      <c r="N110" t="s">
        <v>62</v>
      </c>
      <c r="O110" t="b">
        <v>0</v>
      </c>
      <c r="P110" t="b">
        <v>0</v>
      </c>
    </row>
    <row r="111" spans="1:16" x14ac:dyDescent="0.3">
      <c r="A111" s="1">
        <v>45767</v>
      </c>
      <c r="B111" t="s">
        <v>63</v>
      </c>
      <c r="C111">
        <v>7</v>
      </c>
      <c r="D111" t="s">
        <v>27</v>
      </c>
      <c r="E111" t="s">
        <v>28</v>
      </c>
      <c r="F111">
        <v>0</v>
      </c>
      <c r="G111">
        <v>0</v>
      </c>
      <c r="H111">
        <v>103</v>
      </c>
      <c r="I111">
        <v>97.1</v>
      </c>
      <c r="J111">
        <v>69</v>
      </c>
      <c r="K111">
        <v>3936</v>
      </c>
      <c r="L111">
        <v>8.3000000000000007</v>
      </c>
      <c r="M111" t="s">
        <v>29</v>
      </c>
      <c r="N111" t="s">
        <v>47</v>
      </c>
      <c r="O111" t="b">
        <v>0</v>
      </c>
      <c r="P111" t="b">
        <v>0</v>
      </c>
    </row>
    <row r="112" spans="1:16" x14ac:dyDescent="0.3">
      <c r="A112" s="1">
        <v>45768</v>
      </c>
      <c r="B112" t="s">
        <v>16</v>
      </c>
      <c r="C112">
        <v>1</v>
      </c>
      <c r="D112" t="s">
        <v>17</v>
      </c>
      <c r="E112" t="s">
        <v>25</v>
      </c>
      <c r="F112">
        <v>40</v>
      </c>
      <c r="G112">
        <v>603</v>
      </c>
      <c r="H112">
        <v>102.2</v>
      </c>
      <c r="I112">
        <v>97</v>
      </c>
      <c r="J112">
        <v>152</v>
      </c>
      <c r="K112">
        <v>12353</v>
      </c>
      <c r="L112">
        <v>9.6999999999999993</v>
      </c>
      <c r="M112" t="s">
        <v>19</v>
      </c>
      <c r="N112" t="s">
        <v>20</v>
      </c>
      <c r="O112" t="b">
        <v>0</v>
      </c>
      <c r="P112" t="b">
        <v>0</v>
      </c>
    </row>
    <row r="113" spans="1:16" x14ac:dyDescent="0.3">
      <c r="A113" s="1">
        <v>45769</v>
      </c>
      <c r="B113" t="s">
        <v>39</v>
      </c>
      <c r="C113">
        <v>2</v>
      </c>
      <c r="D113" t="s">
        <v>40</v>
      </c>
      <c r="E113" t="s">
        <v>43</v>
      </c>
      <c r="F113">
        <v>68</v>
      </c>
      <c r="G113">
        <v>548</v>
      </c>
      <c r="H113">
        <v>102.2</v>
      </c>
      <c r="I113">
        <v>96.9</v>
      </c>
      <c r="J113">
        <v>140</v>
      </c>
      <c r="K113">
        <v>6370</v>
      </c>
      <c r="L113">
        <v>9.9</v>
      </c>
      <c r="M113" t="s">
        <v>19</v>
      </c>
      <c r="N113" t="s">
        <v>42</v>
      </c>
      <c r="O113" t="b">
        <v>0</v>
      </c>
      <c r="P113" t="b">
        <v>0</v>
      </c>
    </row>
    <row r="114" spans="1:16" x14ac:dyDescent="0.3">
      <c r="A114" s="1">
        <v>45770</v>
      </c>
      <c r="B114" t="s">
        <v>54</v>
      </c>
      <c r="C114">
        <v>3</v>
      </c>
      <c r="D114" t="s">
        <v>17</v>
      </c>
      <c r="E114" t="s">
        <v>32</v>
      </c>
      <c r="F114">
        <v>26</v>
      </c>
      <c r="G114">
        <v>225</v>
      </c>
      <c r="H114">
        <v>103.5</v>
      </c>
      <c r="I114">
        <v>96.9</v>
      </c>
      <c r="J114">
        <v>156</v>
      </c>
      <c r="K114">
        <v>9011</v>
      </c>
      <c r="L114">
        <v>6.6</v>
      </c>
      <c r="M114" t="s">
        <v>22</v>
      </c>
      <c r="N114" t="s">
        <v>23</v>
      </c>
      <c r="O114" t="b">
        <v>0</v>
      </c>
      <c r="P114" t="b">
        <v>0</v>
      </c>
    </row>
    <row r="115" spans="1:16" x14ac:dyDescent="0.3">
      <c r="A115" s="1">
        <v>45771</v>
      </c>
      <c r="B115" t="s">
        <v>55</v>
      </c>
      <c r="C115">
        <v>4</v>
      </c>
      <c r="D115" t="s">
        <v>36</v>
      </c>
      <c r="E115" t="s">
        <v>56</v>
      </c>
      <c r="F115">
        <v>18</v>
      </c>
      <c r="G115">
        <v>59</v>
      </c>
      <c r="H115">
        <v>103.2</v>
      </c>
      <c r="I115">
        <v>96.8</v>
      </c>
      <c r="J115">
        <v>93</v>
      </c>
      <c r="K115">
        <v>4460</v>
      </c>
      <c r="L115">
        <v>6.5</v>
      </c>
      <c r="M115" t="s">
        <v>29</v>
      </c>
      <c r="N115" t="s">
        <v>58</v>
      </c>
      <c r="O115" t="b">
        <v>0</v>
      </c>
      <c r="P115" t="b">
        <v>0</v>
      </c>
    </row>
    <row r="116" spans="1:16" x14ac:dyDescent="0.3">
      <c r="A116" s="1">
        <v>45772</v>
      </c>
      <c r="B116" t="s">
        <v>59</v>
      </c>
      <c r="C116">
        <v>5</v>
      </c>
      <c r="D116" t="s">
        <v>17</v>
      </c>
      <c r="E116" t="s">
        <v>18</v>
      </c>
      <c r="F116">
        <v>28</v>
      </c>
      <c r="G116">
        <v>222</v>
      </c>
      <c r="H116">
        <v>104.7</v>
      </c>
      <c r="I116">
        <v>96.7</v>
      </c>
      <c r="J116">
        <v>140</v>
      </c>
      <c r="K116">
        <v>13985</v>
      </c>
      <c r="L116">
        <v>7.1</v>
      </c>
      <c r="M116" t="s">
        <v>22</v>
      </c>
      <c r="N116" t="s">
        <v>20</v>
      </c>
      <c r="O116" t="b">
        <v>0</v>
      </c>
      <c r="P116" t="b">
        <v>0</v>
      </c>
    </row>
    <row r="117" spans="1:16" x14ac:dyDescent="0.3">
      <c r="A117" s="1">
        <v>45773</v>
      </c>
      <c r="B117" t="s">
        <v>61</v>
      </c>
      <c r="C117">
        <v>6</v>
      </c>
      <c r="D117" t="s">
        <v>40</v>
      </c>
      <c r="E117" t="s">
        <v>43</v>
      </c>
      <c r="F117">
        <v>31</v>
      </c>
      <c r="G117">
        <v>290</v>
      </c>
      <c r="H117">
        <v>103.8</v>
      </c>
      <c r="I117">
        <v>96.6</v>
      </c>
      <c r="J117">
        <v>156</v>
      </c>
      <c r="K117">
        <v>8842</v>
      </c>
      <c r="L117">
        <v>7.6</v>
      </c>
      <c r="M117" t="s">
        <v>19</v>
      </c>
      <c r="N117" t="s">
        <v>45</v>
      </c>
      <c r="O117" t="b">
        <v>0</v>
      </c>
      <c r="P117" t="b">
        <v>0</v>
      </c>
    </row>
    <row r="118" spans="1:16" x14ac:dyDescent="0.3">
      <c r="A118" s="1">
        <v>45774</v>
      </c>
      <c r="B118" t="s">
        <v>63</v>
      </c>
      <c r="C118">
        <v>7</v>
      </c>
      <c r="D118" t="s">
        <v>27</v>
      </c>
      <c r="E118" t="s">
        <v>28</v>
      </c>
      <c r="F118">
        <v>0</v>
      </c>
      <c r="G118">
        <v>0</v>
      </c>
      <c r="H118">
        <v>104.2</v>
      </c>
      <c r="I118">
        <v>96.5</v>
      </c>
      <c r="J118">
        <v>71</v>
      </c>
      <c r="K118">
        <v>5830</v>
      </c>
      <c r="L118">
        <v>6.1</v>
      </c>
      <c r="M118" t="s">
        <v>29</v>
      </c>
      <c r="N118" t="s">
        <v>47</v>
      </c>
      <c r="O118" t="b">
        <v>1</v>
      </c>
      <c r="P118" t="b">
        <v>0</v>
      </c>
    </row>
    <row r="119" spans="1:16" x14ac:dyDescent="0.3">
      <c r="A119" s="1">
        <v>45775</v>
      </c>
      <c r="B119" t="s">
        <v>16</v>
      </c>
      <c r="C119">
        <v>1</v>
      </c>
      <c r="D119" t="s">
        <v>27</v>
      </c>
      <c r="E119" t="s">
        <v>28</v>
      </c>
      <c r="F119">
        <v>0</v>
      </c>
      <c r="G119">
        <v>0</v>
      </c>
      <c r="H119">
        <v>101.9</v>
      </c>
      <c r="I119">
        <v>96.4</v>
      </c>
      <c r="J119">
        <v>70</v>
      </c>
      <c r="K119">
        <v>5945</v>
      </c>
      <c r="L119">
        <v>7.5</v>
      </c>
      <c r="M119" t="s">
        <v>29</v>
      </c>
      <c r="N119" t="s">
        <v>30</v>
      </c>
      <c r="O119" t="b">
        <v>1</v>
      </c>
      <c r="P119" t="b">
        <v>0</v>
      </c>
    </row>
    <row r="120" spans="1:16" x14ac:dyDescent="0.3">
      <c r="A120" s="1">
        <v>45776</v>
      </c>
      <c r="B120" t="s">
        <v>39</v>
      </c>
      <c r="C120">
        <v>2</v>
      </c>
      <c r="D120" t="s">
        <v>27</v>
      </c>
      <c r="E120" t="s">
        <v>28</v>
      </c>
      <c r="F120">
        <v>0</v>
      </c>
      <c r="G120">
        <v>0</v>
      </c>
      <c r="H120">
        <v>104.2</v>
      </c>
      <c r="I120">
        <v>96.3</v>
      </c>
      <c r="J120">
        <v>68</v>
      </c>
      <c r="K120">
        <v>3301</v>
      </c>
      <c r="L120">
        <v>8.1</v>
      </c>
      <c r="M120" t="s">
        <v>29</v>
      </c>
      <c r="N120" t="s">
        <v>47</v>
      </c>
      <c r="O120" t="b">
        <v>1</v>
      </c>
      <c r="P120" t="b">
        <v>0</v>
      </c>
    </row>
    <row r="121" spans="1:16" x14ac:dyDescent="0.3">
      <c r="A121" s="1">
        <v>45777</v>
      </c>
      <c r="B121" t="s">
        <v>54</v>
      </c>
      <c r="C121">
        <v>3</v>
      </c>
      <c r="D121" t="s">
        <v>27</v>
      </c>
      <c r="E121" t="s">
        <v>28</v>
      </c>
      <c r="F121">
        <v>0</v>
      </c>
      <c r="G121">
        <v>0</v>
      </c>
      <c r="H121">
        <v>104.8</v>
      </c>
      <c r="I121">
        <v>96.3</v>
      </c>
      <c r="J121">
        <v>73</v>
      </c>
      <c r="K121">
        <v>5803</v>
      </c>
      <c r="L121">
        <v>7.6</v>
      </c>
      <c r="M121" t="s">
        <v>29</v>
      </c>
      <c r="N121" t="s">
        <v>34</v>
      </c>
      <c r="O121" t="b">
        <v>1</v>
      </c>
      <c r="P121" t="b">
        <v>0</v>
      </c>
    </row>
    <row r="122" spans="1:16" x14ac:dyDescent="0.3">
      <c r="A122" s="1">
        <v>45778</v>
      </c>
      <c r="B122" t="s">
        <v>55</v>
      </c>
      <c r="C122">
        <v>4</v>
      </c>
      <c r="D122" t="s">
        <v>27</v>
      </c>
      <c r="E122" t="s">
        <v>28</v>
      </c>
      <c r="F122">
        <v>0</v>
      </c>
      <c r="G122">
        <v>0</v>
      </c>
      <c r="H122">
        <v>104</v>
      </c>
      <c r="I122">
        <v>96.2</v>
      </c>
      <c r="J122">
        <v>70</v>
      </c>
      <c r="K122">
        <v>5051</v>
      </c>
      <c r="L122">
        <v>7</v>
      </c>
      <c r="M122" t="s">
        <v>29</v>
      </c>
      <c r="N122" t="s">
        <v>30</v>
      </c>
      <c r="O122" t="b">
        <v>1</v>
      </c>
      <c r="P122" t="b">
        <v>0</v>
      </c>
    </row>
    <row r="123" spans="1:16" x14ac:dyDescent="0.3">
      <c r="A123" s="1">
        <v>45779</v>
      </c>
      <c r="B123" t="s">
        <v>59</v>
      </c>
      <c r="C123">
        <v>5</v>
      </c>
      <c r="D123" t="s">
        <v>27</v>
      </c>
      <c r="E123" t="s">
        <v>28</v>
      </c>
      <c r="F123">
        <v>0</v>
      </c>
      <c r="G123">
        <v>0</v>
      </c>
      <c r="H123">
        <v>104.8</v>
      </c>
      <c r="I123">
        <v>96.1</v>
      </c>
      <c r="J123">
        <v>66</v>
      </c>
      <c r="K123">
        <v>3873</v>
      </c>
      <c r="L123">
        <v>6</v>
      </c>
      <c r="M123" t="s">
        <v>29</v>
      </c>
      <c r="N123" t="s">
        <v>34</v>
      </c>
      <c r="O123" t="b">
        <v>1</v>
      </c>
      <c r="P123" t="b">
        <v>0</v>
      </c>
    </row>
    <row r="124" spans="1:16" x14ac:dyDescent="0.3">
      <c r="A124" s="1">
        <v>45780</v>
      </c>
      <c r="B124" t="s">
        <v>61</v>
      </c>
      <c r="C124">
        <v>6</v>
      </c>
      <c r="D124" t="s">
        <v>27</v>
      </c>
      <c r="E124" t="s">
        <v>28</v>
      </c>
      <c r="F124">
        <v>0</v>
      </c>
      <c r="G124">
        <v>0</v>
      </c>
      <c r="H124">
        <v>103.1</v>
      </c>
      <c r="I124">
        <v>96</v>
      </c>
      <c r="J124">
        <v>70</v>
      </c>
      <c r="K124">
        <v>5703</v>
      </c>
      <c r="L124">
        <v>6.8</v>
      </c>
      <c r="M124" t="s">
        <v>29</v>
      </c>
      <c r="N124" t="s">
        <v>30</v>
      </c>
      <c r="O124" t="b">
        <v>1</v>
      </c>
      <c r="P124" t="b">
        <v>0</v>
      </c>
    </row>
    <row r="125" spans="1:16" x14ac:dyDescent="0.3">
      <c r="A125" s="1">
        <v>45781</v>
      </c>
      <c r="B125" t="s">
        <v>63</v>
      </c>
      <c r="C125">
        <v>7</v>
      </c>
      <c r="D125" t="s">
        <v>27</v>
      </c>
      <c r="E125" t="s">
        <v>28</v>
      </c>
      <c r="F125">
        <v>0</v>
      </c>
      <c r="G125">
        <v>0</v>
      </c>
      <c r="H125">
        <v>102.9</v>
      </c>
      <c r="I125">
        <v>95.9</v>
      </c>
      <c r="J125">
        <v>70</v>
      </c>
      <c r="K125">
        <v>5971</v>
      </c>
      <c r="L125">
        <v>8.1</v>
      </c>
      <c r="M125" t="s">
        <v>29</v>
      </c>
      <c r="N125" t="s">
        <v>47</v>
      </c>
      <c r="O125" t="b">
        <v>1</v>
      </c>
      <c r="P125" t="b">
        <v>0</v>
      </c>
    </row>
    <row r="126" spans="1:16" x14ac:dyDescent="0.3">
      <c r="A126" s="1">
        <v>45782</v>
      </c>
      <c r="B126" t="s">
        <v>16</v>
      </c>
      <c r="C126">
        <v>1</v>
      </c>
      <c r="D126" t="s">
        <v>27</v>
      </c>
      <c r="E126" t="s">
        <v>28</v>
      </c>
      <c r="F126">
        <v>0</v>
      </c>
      <c r="G126">
        <v>0</v>
      </c>
      <c r="H126">
        <v>104.4</v>
      </c>
      <c r="I126">
        <v>95.9</v>
      </c>
      <c r="J126">
        <v>66</v>
      </c>
      <c r="K126">
        <v>3822</v>
      </c>
      <c r="L126">
        <v>9.1999999999999993</v>
      </c>
      <c r="M126" t="s">
        <v>29</v>
      </c>
      <c r="N126" t="s">
        <v>34</v>
      </c>
      <c r="O126" t="b">
        <v>1</v>
      </c>
      <c r="P126" t="b">
        <v>0</v>
      </c>
    </row>
    <row r="127" spans="1:16" x14ac:dyDescent="0.3">
      <c r="A127" s="1">
        <v>45783</v>
      </c>
      <c r="B127" t="s">
        <v>39</v>
      </c>
      <c r="C127">
        <v>2</v>
      </c>
      <c r="D127" t="s">
        <v>40</v>
      </c>
      <c r="E127" t="s">
        <v>43</v>
      </c>
      <c r="F127">
        <v>40</v>
      </c>
      <c r="G127">
        <v>310</v>
      </c>
      <c r="H127">
        <v>104</v>
      </c>
      <c r="I127">
        <v>95.8</v>
      </c>
      <c r="J127">
        <v>149</v>
      </c>
      <c r="K127">
        <v>6725</v>
      </c>
      <c r="L127">
        <v>7.4</v>
      </c>
      <c r="M127" t="s">
        <v>19</v>
      </c>
      <c r="N127" t="s">
        <v>48</v>
      </c>
      <c r="O127" t="b">
        <v>0</v>
      </c>
      <c r="P127" t="b">
        <v>0</v>
      </c>
    </row>
    <row r="128" spans="1:16" x14ac:dyDescent="0.3">
      <c r="A128" s="1">
        <v>45784</v>
      </c>
      <c r="B128" t="s">
        <v>54</v>
      </c>
      <c r="C128">
        <v>3</v>
      </c>
      <c r="D128" t="s">
        <v>17</v>
      </c>
      <c r="E128" t="s">
        <v>21</v>
      </c>
      <c r="F128">
        <v>70</v>
      </c>
      <c r="G128">
        <v>866</v>
      </c>
      <c r="H128">
        <v>103.4</v>
      </c>
      <c r="I128">
        <v>95.7</v>
      </c>
      <c r="J128">
        <v>146</v>
      </c>
      <c r="K128">
        <v>12752</v>
      </c>
      <c r="L128">
        <v>8</v>
      </c>
      <c r="M128" t="s">
        <v>19</v>
      </c>
      <c r="N128" t="s">
        <v>23</v>
      </c>
      <c r="O128" t="b">
        <v>0</v>
      </c>
      <c r="P128" t="b">
        <v>0</v>
      </c>
    </row>
    <row r="129" spans="1:16" x14ac:dyDescent="0.3">
      <c r="A129" s="1">
        <v>45785</v>
      </c>
      <c r="B129" t="s">
        <v>55</v>
      </c>
      <c r="C129">
        <v>4</v>
      </c>
      <c r="D129" t="s">
        <v>36</v>
      </c>
      <c r="E129" t="s">
        <v>56</v>
      </c>
      <c r="F129">
        <v>54</v>
      </c>
      <c r="G129">
        <v>189</v>
      </c>
      <c r="H129">
        <v>103.8</v>
      </c>
      <c r="I129">
        <v>95.6</v>
      </c>
      <c r="J129">
        <v>97</v>
      </c>
      <c r="K129">
        <v>6197</v>
      </c>
      <c r="L129">
        <v>8.3000000000000007</v>
      </c>
      <c r="M129" t="s">
        <v>29</v>
      </c>
      <c r="N129" t="s">
        <v>58</v>
      </c>
      <c r="O129" t="b">
        <v>0</v>
      </c>
      <c r="P129" t="b">
        <v>0</v>
      </c>
    </row>
    <row r="130" spans="1:16" x14ac:dyDescent="0.3">
      <c r="A130" s="1">
        <v>45786</v>
      </c>
      <c r="B130" t="s">
        <v>59</v>
      </c>
      <c r="C130">
        <v>5</v>
      </c>
      <c r="D130" t="s">
        <v>17</v>
      </c>
      <c r="E130" t="s">
        <v>21</v>
      </c>
      <c r="F130">
        <v>24</v>
      </c>
      <c r="G130">
        <v>332</v>
      </c>
      <c r="H130">
        <v>103.2</v>
      </c>
      <c r="I130">
        <v>95.6</v>
      </c>
      <c r="J130">
        <v>166</v>
      </c>
      <c r="K130">
        <v>11097</v>
      </c>
      <c r="L130">
        <v>6.6</v>
      </c>
      <c r="M130" t="s">
        <v>19</v>
      </c>
      <c r="N130" t="s">
        <v>35</v>
      </c>
      <c r="O130" t="b">
        <v>0</v>
      </c>
      <c r="P130" t="b">
        <v>0</v>
      </c>
    </row>
    <row r="131" spans="1:16" x14ac:dyDescent="0.3">
      <c r="A131" s="1">
        <v>45787</v>
      </c>
      <c r="B131" t="s">
        <v>61</v>
      </c>
      <c r="C131">
        <v>6</v>
      </c>
      <c r="D131" t="s">
        <v>49</v>
      </c>
      <c r="E131" t="s">
        <v>52</v>
      </c>
      <c r="F131">
        <v>96</v>
      </c>
      <c r="G131">
        <v>875</v>
      </c>
      <c r="H131">
        <v>102.6</v>
      </c>
      <c r="I131">
        <v>95.5</v>
      </c>
      <c r="J131">
        <v>155</v>
      </c>
      <c r="K131">
        <v>12369</v>
      </c>
      <c r="L131">
        <v>8.9</v>
      </c>
      <c r="M131" t="s">
        <v>22</v>
      </c>
      <c r="N131" t="s">
        <v>51</v>
      </c>
      <c r="O131" t="b">
        <v>0</v>
      </c>
      <c r="P131" t="b">
        <v>0</v>
      </c>
    </row>
    <row r="132" spans="1:16" x14ac:dyDescent="0.3">
      <c r="A132" s="1">
        <v>45788</v>
      </c>
      <c r="B132" t="s">
        <v>63</v>
      </c>
      <c r="C132">
        <v>7</v>
      </c>
      <c r="D132" t="s">
        <v>27</v>
      </c>
      <c r="E132" t="s">
        <v>28</v>
      </c>
      <c r="F132">
        <v>0</v>
      </c>
      <c r="G132">
        <v>0</v>
      </c>
      <c r="H132">
        <v>101.8</v>
      </c>
      <c r="I132">
        <v>95.4</v>
      </c>
      <c r="J132">
        <v>72</v>
      </c>
      <c r="K132">
        <v>3993</v>
      </c>
      <c r="L132">
        <v>6.7</v>
      </c>
      <c r="M132" t="s">
        <v>29</v>
      </c>
      <c r="N132" t="s">
        <v>47</v>
      </c>
      <c r="O132" t="b">
        <v>0</v>
      </c>
      <c r="P132" t="b">
        <v>0</v>
      </c>
    </row>
    <row r="133" spans="1:16" x14ac:dyDescent="0.3">
      <c r="A133" s="1">
        <v>45789</v>
      </c>
      <c r="B133" t="s">
        <v>16</v>
      </c>
      <c r="C133">
        <v>1</v>
      </c>
      <c r="D133" t="s">
        <v>27</v>
      </c>
      <c r="E133" t="s">
        <v>28</v>
      </c>
      <c r="F133">
        <v>0</v>
      </c>
      <c r="G133">
        <v>0</v>
      </c>
      <c r="H133">
        <v>102.1</v>
      </c>
      <c r="I133">
        <v>95.3</v>
      </c>
      <c r="J133">
        <v>75</v>
      </c>
      <c r="K133">
        <v>5546</v>
      </c>
      <c r="L133">
        <v>6.7</v>
      </c>
      <c r="M133" t="s">
        <v>29</v>
      </c>
      <c r="N133" t="s">
        <v>34</v>
      </c>
      <c r="O133" t="b">
        <v>0</v>
      </c>
      <c r="P133" t="b">
        <v>0</v>
      </c>
    </row>
    <row r="134" spans="1:16" x14ac:dyDescent="0.3">
      <c r="A134" s="1">
        <v>45790</v>
      </c>
      <c r="B134" t="s">
        <v>39</v>
      </c>
      <c r="C134">
        <v>2</v>
      </c>
      <c r="D134" t="s">
        <v>40</v>
      </c>
      <c r="E134" t="s">
        <v>41</v>
      </c>
      <c r="F134">
        <v>40</v>
      </c>
      <c r="G134">
        <v>254</v>
      </c>
      <c r="H134">
        <v>104.4</v>
      </c>
      <c r="I134">
        <v>95.3</v>
      </c>
      <c r="J134">
        <v>130</v>
      </c>
      <c r="K134">
        <v>7251</v>
      </c>
      <c r="L134">
        <v>7.6</v>
      </c>
      <c r="M134" t="s">
        <v>22</v>
      </c>
      <c r="N134" t="s">
        <v>48</v>
      </c>
      <c r="O134" t="b">
        <v>0</v>
      </c>
      <c r="P134" t="b">
        <v>0</v>
      </c>
    </row>
    <row r="135" spans="1:16" x14ac:dyDescent="0.3">
      <c r="A135" s="1">
        <v>45791</v>
      </c>
      <c r="B135" t="s">
        <v>54</v>
      </c>
      <c r="C135">
        <v>3</v>
      </c>
      <c r="D135" t="s">
        <v>17</v>
      </c>
      <c r="E135" t="s">
        <v>32</v>
      </c>
      <c r="F135">
        <v>44</v>
      </c>
      <c r="G135">
        <v>587</v>
      </c>
      <c r="H135">
        <v>103.1</v>
      </c>
      <c r="I135">
        <v>95.2</v>
      </c>
      <c r="J135">
        <v>145</v>
      </c>
      <c r="K135">
        <v>11839</v>
      </c>
      <c r="L135">
        <v>7.7</v>
      </c>
      <c r="M135" t="s">
        <v>19</v>
      </c>
      <c r="N135" t="s">
        <v>20</v>
      </c>
      <c r="O135" t="b">
        <v>0</v>
      </c>
      <c r="P135" t="b">
        <v>0</v>
      </c>
    </row>
    <row r="136" spans="1:16" x14ac:dyDescent="0.3">
      <c r="A136" s="1">
        <v>45792</v>
      </c>
      <c r="B136" t="s">
        <v>55</v>
      </c>
      <c r="C136">
        <v>4</v>
      </c>
      <c r="D136" t="s">
        <v>36</v>
      </c>
      <c r="E136" t="s">
        <v>56</v>
      </c>
      <c r="F136">
        <v>42</v>
      </c>
      <c r="G136">
        <v>147</v>
      </c>
      <c r="H136">
        <v>104.7</v>
      </c>
      <c r="I136">
        <v>95.1</v>
      </c>
      <c r="J136">
        <v>94</v>
      </c>
      <c r="K136">
        <v>4856</v>
      </c>
      <c r="L136">
        <v>7.8</v>
      </c>
      <c r="M136" t="s">
        <v>29</v>
      </c>
      <c r="N136" t="s">
        <v>38</v>
      </c>
      <c r="O136" t="b">
        <v>0</v>
      </c>
      <c r="P136" t="b">
        <v>0</v>
      </c>
    </row>
    <row r="137" spans="1:16" x14ac:dyDescent="0.3">
      <c r="A137" s="1">
        <v>45793</v>
      </c>
      <c r="B137" t="s">
        <v>59</v>
      </c>
      <c r="C137">
        <v>5</v>
      </c>
      <c r="D137" t="s">
        <v>17</v>
      </c>
      <c r="E137" t="s">
        <v>21</v>
      </c>
      <c r="F137">
        <v>36</v>
      </c>
      <c r="G137">
        <v>327</v>
      </c>
      <c r="H137">
        <v>103.6</v>
      </c>
      <c r="I137">
        <v>95.1</v>
      </c>
      <c r="J137">
        <v>152</v>
      </c>
      <c r="K137">
        <v>8099</v>
      </c>
      <c r="L137">
        <v>6.8</v>
      </c>
      <c r="M137" t="s">
        <v>19</v>
      </c>
      <c r="N137" t="s">
        <v>24</v>
      </c>
      <c r="O137" t="b">
        <v>0</v>
      </c>
      <c r="P137" t="b">
        <v>0</v>
      </c>
    </row>
    <row r="138" spans="1:16" x14ac:dyDescent="0.3">
      <c r="A138" s="1">
        <v>45794</v>
      </c>
      <c r="B138" t="s">
        <v>61</v>
      </c>
      <c r="C138">
        <v>6</v>
      </c>
      <c r="D138" t="s">
        <v>49</v>
      </c>
      <c r="E138" t="s">
        <v>50</v>
      </c>
      <c r="F138">
        <v>54</v>
      </c>
      <c r="G138">
        <v>416</v>
      </c>
      <c r="H138">
        <v>103.4</v>
      </c>
      <c r="I138">
        <v>95</v>
      </c>
      <c r="J138">
        <v>174</v>
      </c>
      <c r="K138">
        <v>12694</v>
      </c>
      <c r="L138">
        <v>8.1</v>
      </c>
      <c r="M138" t="s">
        <v>22</v>
      </c>
      <c r="N138" t="s">
        <v>60</v>
      </c>
      <c r="O138" t="b">
        <v>0</v>
      </c>
      <c r="P138" t="b">
        <v>0</v>
      </c>
    </row>
    <row r="139" spans="1:16" x14ac:dyDescent="0.3">
      <c r="A139" s="1">
        <v>45795</v>
      </c>
      <c r="B139" t="s">
        <v>63</v>
      </c>
      <c r="C139">
        <v>7</v>
      </c>
      <c r="D139" t="s">
        <v>27</v>
      </c>
      <c r="E139" t="s">
        <v>28</v>
      </c>
      <c r="F139">
        <v>0</v>
      </c>
      <c r="G139">
        <v>0</v>
      </c>
      <c r="H139">
        <v>103</v>
      </c>
      <c r="I139">
        <v>94.9</v>
      </c>
      <c r="J139">
        <v>69</v>
      </c>
      <c r="K139">
        <v>5171</v>
      </c>
      <c r="L139">
        <v>6.4</v>
      </c>
      <c r="M139" t="s">
        <v>29</v>
      </c>
      <c r="N139" t="s">
        <v>34</v>
      </c>
      <c r="O139" t="b">
        <v>0</v>
      </c>
      <c r="P139" t="b">
        <v>0</v>
      </c>
    </row>
    <row r="140" spans="1:16" x14ac:dyDescent="0.3">
      <c r="A140" s="1">
        <v>45796</v>
      </c>
      <c r="B140" t="s">
        <v>16</v>
      </c>
      <c r="C140">
        <v>1</v>
      </c>
      <c r="D140" t="s">
        <v>17</v>
      </c>
      <c r="E140" t="s">
        <v>18</v>
      </c>
      <c r="F140">
        <v>30</v>
      </c>
      <c r="G140">
        <v>280</v>
      </c>
      <c r="H140">
        <v>101.9</v>
      </c>
      <c r="I140">
        <v>94.8</v>
      </c>
      <c r="J140">
        <v>158</v>
      </c>
      <c r="K140">
        <v>10065</v>
      </c>
      <c r="L140">
        <v>7.2</v>
      </c>
      <c r="M140" t="s">
        <v>22</v>
      </c>
      <c r="N140" t="s">
        <v>24</v>
      </c>
      <c r="O140" t="b">
        <v>0</v>
      </c>
      <c r="P140" t="b">
        <v>0</v>
      </c>
    </row>
    <row r="141" spans="1:16" x14ac:dyDescent="0.3">
      <c r="A141" s="1">
        <v>45797</v>
      </c>
      <c r="B141" t="s">
        <v>39</v>
      </c>
      <c r="C141">
        <v>2</v>
      </c>
      <c r="D141" t="s">
        <v>49</v>
      </c>
      <c r="E141" t="s">
        <v>50</v>
      </c>
      <c r="F141">
        <v>63</v>
      </c>
      <c r="G141">
        <v>626</v>
      </c>
      <c r="H141">
        <v>102.9</v>
      </c>
      <c r="I141">
        <v>94.8</v>
      </c>
      <c r="J141">
        <v>157</v>
      </c>
      <c r="K141">
        <v>13072</v>
      </c>
      <c r="L141">
        <v>7.4</v>
      </c>
      <c r="M141" t="s">
        <v>22</v>
      </c>
      <c r="N141" t="s">
        <v>51</v>
      </c>
      <c r="O141" t="b">
        <v>0</v>
      </c>
      <c r="P141" t="b">
        <v>0</v>
      </c>
    </row>
    <row r="142" spans="1:16" x14ac:dyDescent="0.3">
      <c r="A142" s="1">
        <v>45798</v>
      </c>
      <c r="B142" t="s">
        <v>54</v>
      </c>
      <c r="C142">
        <v>3</v>
      </c>
      <c r="D142" t="s">
        <v>17</v>
      </c>
      <c r="E142" t="s">
        <v>18</v>
      </c>
      <c r="F142">
        <v>76</v>
      </c>
      <c r="G142">
        <v>1139</v>
      </c>
      <c r="H142">
        <v>102</v>
      </c>
      <c r="I142">
        <v>94.7</v>
      </c>
      <c r="J142">
        <v>146</v>
      </c>
      <c r="K142">
        <v>10029</v>
      </c>
      <c r="L142">
        <v>7.9</v>
      </c>
      <c r="M142" t="s">
        <v>19</v>
      </c>
      <c r="N142" t="s">
        <v>35</v>
      </c>
      <c r="O142" t="b">
        <v>0</v>
      </c>
      <c r="P142" t="b">
        <v>0</v>
      </c>
    </row>
    <row r="143" spans="1:16" x14ac:dyDescent="0.3">
      <c r="A143" s="1">
        <v>45799</v>
      </c>
      <c r="B143" t="s">
        <v>55</v>
      </c>
      <c r="C143">
        <v>4</v>
      </c>
      <c r="D143" t="s">
        <v>36</v>
      </c>
      <c r="E143" t="s">
        <v>37</v>
      </c>
      <c r="F143">
        <v>40</v>
      </c>
      <c r="G143">
        <v>121</v>
      </c>
      <c r="H143">
        <v>102.4</v>
      </c>
      <c r="I143">
        <v>94.6</v>
      </c>
      <c r="J143">
        <v>81</v>
      </c>
      <c r="K143">
        <v>6354</v>
      </c>
      <c r="L143">
        <v>8.1999999999999993</v>
      </c>
      <c r="M143" t="s">
        <v>29</v>
      </c>
      <c r="N143" t="s">
        <v>57</v>
      </c>
      <c r="O143" t="b">
        <v>0</v>
      </c>
      <c r="P143" t="b">
        <v>0</v>
      </c>
    </row>
    <row r="144" spans="1:16" x14ac:dyDescent="0.3">
      <c r="A144" s="1">
        <v>45800</v>
      </c>
      <c r="B144" t="s">
        <v>59</v>
      </c>
      <c r="C144">
        <v>5</v>
      </c>
      <c r="D144" t="s">
        <v>17</v>
      </c>
      <c r="E144" t="s">
        <v>21</v>
      </c>
      <c r="F144">
        <v>72</v>
      </c>
      <c r="G144">
        <v>517</v>
      </c>
      <c r="H144">
        <v>102.2</v>
      </c>
      <c r="I144">
        <v>94.6</v>
      </c>
      <c r="J144">
        <v>161</v>
      </c>
      <c r="K144">
        <v>12123</v>
      </c>
      <c r="L144">
        <v>7.2</v>
      </c>
      <c r="M144" t="s">
        <v>22</v>
      </c>
      <c r="N144" t="s">
        <v>23</v>
      </c>
      <c r="O144" t="b">
        <v>0</v>
      </c>
      <c r="P144" t="b">
        <v>0</v>
      </c>
    </row>
    <row r="145" spans="1:16" x14ac:dyDescent="0.3">
      <c r="A145" s="1">
        <v>45801</v>
      </c>
      <c r="B145" t="s">
        <v>61</v>
      </c>
      <c r="C145">
        <v>6</v>
      </c>
      <c r="D145" t="s">
        <v>40</v>
      </c>
      <c r="E145" t="s">
        <v>41</v>
      </c>
      <c r="F145">
        <v>95</v>
      </c>
      <c r="G145">
        <v>765</v>
      </c>
      <c r="H145">
        <v>100.4</v>
      </c>
      <c r="I145">
        <v>94.5</v>
      </c>
      <c r="J145">
        <v>136</v>
      </c>
      <c r="K145">
        <v>5197</v>
      </c>
      <c r="L145">
        <v>8.5</v>
      </c>
      <c r="M145" t="s">
        <v>19</v>
      </c>
      <c r="N145" t="s">
        <v>45</v>
      </c>
      <c r="O145" t="b">
        <v>0</v>
      </c>
      <c r="P145" t="b">
        <v>0</v>
      </c>
    </row>
    <row r="146" spans="1:16" x14ac:dyDescent="0.3">
      <c r="A146" s="1">
        <v>45802</v>
      </c>
      <c r="B146" t="s">
        <v>63</v>
      </c>
      <c r="C146">
        <v>7</v>
      </c>
      <c r="D146" t="s">
        <v>27</v>
      </c>
      <c r="E146" t="s">
        <v>28</v>
      </c>
      <c r="F146">
        <v>0</v>
      </c>
      <c r="G146">
        <v>0</v>
      </c>
      <c r="H146">
        <v>102.2</v>
      </c>
      <c r="I146">
        <v>94.5</v>
      </c>
      <c r="J146">
        <v>72</v>
      </c>
      <c r="K146">
        <v>4768</v>
      </c>
      <c r="L146">
        <v>7.4</v>
      </c>
      <c r="M146" t="s">
        <v>29</v>
      </c>
      <c r="N146" t="s">
        <v>47</v>
      </c>
      <c r="O146" t="b">
        <v>0</v>
      </c>
      <c r="P146" t="b">
        <v>0</v>
      </c>
    </row>
    <row r="147" spans="1:16" x14ac:dyDescent="0.3">
      <c r="A147" s="1">
        <v>45803</v>
      </c>
      <c r="B147" t="s">
        <v>16</v>
      </c>
      <c r="C147">
        <v>1</v>
      </c>
      <c r="D147" t="s">
        <v>17</v>
      </c>
      <c r="E147" t="s">
        <v>25</v>
      </c>
      <c r="F147">
        <v>37</v>
      </c>
      <c r="G147">
        <v>479</v>
      </c>
      <c r="H147">
        <v>101.4</v>
      </c>
      <c r="I147">
        <v>94.4</v>
      </c>
      <c r="J147">
        <v>158</v>
      </c>
      <c r="K147">
        <v>12742</v>
      </c>
      <c r="L147">
        <v>7.1</v>
      </c>
      <c r="M147" t="s">
        <v>19</v>
      </c>
      <c r="N147" t="s">
        <v>23</v>
      </c>
      <c r="O147" t="b">
        <v>0</v>
      </c>
      <c r="P147" t="b">
        <v>0</v>
      </c>
    </row>
    <row r="148" spans="1:16" x14ac:dyDescent="0.3">
      <c r="A148" s="1">
        <v>45804</v>
      </c>
      <c r="B148" t="s">
        <v>39</v>
      </c>
      <c r="C148">
        <v>2</v>
      </c>
      <c r="D148" t="s">
        <v>40</v>
      </c>
      <c r="E148" t="s">
        <v>43</v>
      </c>
      <c r="F148">
        <v>49</v>
      </c>
      <c r="G148">
        <v>428</v>
      </c>
      <c r="H148">
        <v>103.3</v>
      </c>
      <c r="I148">
        <v>94.3</v>
      </c>
      <c r="J148">
        <v>132</v>
      </c>
      <c r="K148">
        <v>7950</v>
      </c>
      <c r="L148">
        <v>6.9</v>
      </c>
      <c r="M148" t="s">
        <v>22</v>
      </c>
      <c r="N148" t="s">
        <v>46</v>
      </c>
      <c r="O148" t="b">
        <v>0</v>
      </c>
      <c r="P148" t="b">
        <v>0</v>
      </c>
    </row>
    <row r="149" spans="1:16" x14ac:dyDescent="0.3">
      <c r="A149" s="1">
        <v>45805</v>
      </c>
      <c r="B149" t="s">
        <v>54</v>
      </c>
      <c r="C149">
        <v>3</v>
      </c>
      <c r="D149" t="s">
        <v>27</v>
      </c>
      <c r="E149" t="s">
        <v>28</v>
      </c>
      <c r="F149">
        <v>0</v>
      </c>
      <c r="G149">
        <v>0</v>
      </c>
      <c r="H149">
        <v>103.4</v>
      </c>
      <c r="I149">
        <v>94.3</v>
      </c>
      <c r="J149">
        <v>72</v>
      </c>
      <c r="K149">
        <v>4452</v>
      </c>
      <c r="L149">
        <v>8.4</v>
      </c>
      <c r="M149" t="s">
        <v>29</v>
      </c>
      <c r="N149" t="s">
        <v>30</v>
      </c>
      <c r="O149" t="b">
        <v>1</v>
      </c>
      <c r="P149" t="b">
        <v>0</v>
      </c>
    </row>
    <row r="150" spans="1:16" x14ac:dyDescent="0.3">
      <c r="A150" s="1">
        <v>45806</v>
      </c>
      <c r="B150" t="s">
        <v>55</v>
      </c>
      <c r="C150">
        <v>4</v>
      </c>
      <c r="D150" t="s">
        <v>27</v>
      </c>
      <c r="E150" t="s">
        <v>28</v>
      </c>
      <c r="F150">
        <v>0</v>
      </c>
      <c r="G150">
        <v>0</v>
      </c>
      <c r="H150">
        <v>103.3</v>
      </c>
      <c r="I150">
        <v>94.2</v>
      </c>
      <c r="J150">
        <v>72</v>
      </c>
      <c r="K150">
        <v>4995</v>
      </c>
      <c r="L150">
        <v>8</v>
      </c>
      <c r="M150" t="s">
        <v>29</v>
      </c>
      <c r="N150" t="s">
        <v>47</v>
      </c>
      <c r="O150" t="b">
        <v>1</v>
      </c>
      <c r="P150" t="b">
        <v>0</v>
      </c>
    </row>
    <row r="151" spans="1:16" x14ac:dyDescent="0.3">
      <c r="A151" s="1">
        <v>45807</v>
      </c>
      <c r="B151" t="s">
        <v>59</v>
      </c>
      <c r="C151">
        <v>5</v>
      </c>
      <c r="D151" t="s">
        <v>27</v>
      </c>
      <c r="E151" t="s">
        <v>28</v>
      </c>
      <c r="F151">
        <v>0</v>
      </c>
      <c r="G151">
        <v>0</v>
      </c>
      <c r="H151">
        <v>102</v>
      </c>
      <c r="I151">
        <v>94.1</v>
      </c>
      <c r="J151">
        <v>74</v>
      </c>
      <c r="K151">
        <v>4087</v>
      </c>
      <c r="L151">
        <v>7.3</v>
      </c>
      <c r="M151" t="s">
        <v>29</v>
      </c>
      <c r="N151" t="s">
        <v>34</v>
      </c>
      <c r="O151" t="b">
        <v>1</v>
      </c>
      <c r="P151" t="b">
        <v>0</v>
      </c>
    </row>
    <row r="152" spans="1:16" x14ac:dyDescent="0.3">
      <c r="A152" s="1">
        <v>45808</v>
      </c>
      <c r="B152" t="s">
        <v>61</v>
      </c>
      <c r="C152">
        <v>6</v>
      </c>
      <c r="D152" t="s">
        <v>27</v>
      </c>
      <c r="E152" t="s">
        <v>28</v>
      </c>
      <c r="F152">
        <v>0</v>
      </c>
      <c r="G152">
        <v>0</v>
      </c>
      <c r="H152">
        <v>100.8</v>
      </c>
      <c r="I152">
        <v>94.1</v>
      </c>
      <c r="J152">
        <v>70</v>
      </c>
      <c r="K152">
        <v>4786</v>
      </c>
      <c r="L152">
        <v>7.3</v>
      </c>
      <c r="M152" t="s">
        <v>29</v>
      </c>
      <c r="N152" t="s">
        <v>34</v>
      </c>
      <c r="O152" t="b">
        <v>1</v>
      </c>
      <c r="P152" t="b">
        <v>0</v>
      </c>
    </row>
    <row r="153" spans="1:16" x14ac:dyDescent="0.3">
      <c r="A153" s="1">
        <v>45809</v>
      </c>
      <c r="B153" t="s">
        <v>63</v>
      </c>
      <c r="C153">
        <v>7</v>
      </c>
      <c r="D153" t="s">
        <v>27</v>
      </c>
      <c r="E153" t="s">
        <v>28</v>
      </c>
      <c r="F153">
        <v>0</v>
      </c>
      <c r="G153">
        <v>0</v>
      </c>
      <c r="H153">
        <v>102.6</v>
      </c>
      <c r="I153">
        <v>94</v>
      </c>
      <c r="J153">
        <v>68</v>
      </c>
      <c r="K153">
        <v>3941</v>
      </c>
      <c r="L153">
        <v>7.4</v>
      </c>
      <c r="M153" t="s">
        <v>29</v>
      </c>
      <c r="N153" t="s">
        <v>47</v>
      </c>
      <c r="O153" t="b">
        <v>1</v>
      </c>
      <c r="P153" t="b">
        <v>0</v>
      </c>
    </row>
    <row r="154" spans="1:16" x14ac:dyDescent="0.3">
      <c r="A154" s="1">
        <v>45810</v>
      </c>
      <c r="B154" t="s">
        <v>16</v>
      </c>
      <c r="C154">
        <v>1</v>
      </c>
      <c r="D154" t="s">
        <v>27</v>
      </c>
      <c r="E154" t="s">
        <v>28</v>
      </c>
      <c r="F154">
        <v>0</v>
      </c>
      <c r="G154">
        <v>0</v>
      </c>
      <c r="H154">
        <v>101.1</v>
      </c>
      <c r="I154">
        <v>94</v>
      </c>
      <c r="J154">
        <v>69</v>
      </c>
      <c r="K154">
        <v>4176</v>
      </c>
      <c r="L154">
        <v>8.3000000000000007</v>
      </c>
      <c r="M154" t="s">
        <v>29</v>
      </c>
      <c r="N154" t="s">
        <v>34</v>
      </c>
      <c r="O154" t="b">
        <v>1</v>
      </c>
      <c r="P154" t="b">
        <v>0</v>
      </c>
    </row>
    <row r="155" spans="1:16" x14ac:dyDescent="0.3">
      <c r="A155" s="1">
        <v>45811</v>
      </c>
      <c r="B155" t="s">
        <v>39</v>
      </c>
      <c r="C155">
        <v>2</v>
      </c>
      <c r="D155" t="s">
        <v>27</v>
      </c>
      <c r="E155" t="s">
        <v>28</v>
      </c>
      <c r="F155">
        <v>0</v>
      </c>
      <c r="G155">
        <v>0</v>
      </c>
      <c r="H155">
        <v>103</v>
      </c>
      <c r="I155">
        <v>93.9</v>
      </c>
      <c r="J155">
        <v>70</v>
      </c>
      <c r="K155">
        <v>3116</v>
      </c>
      <c r="L155">
        <v>7.4</v>
      </c>
      <c r="M155" t="s">
        <v>29</v>
      </c>
      <c r="N155" t="s">
        <v>30</v>
      </c>
      <c r="O155" t="b">
        <v>1</v>
      </c>
      <c r="P155" t="b">
        <v>0</v>
      </c>
    </row>
    <row r="156" spans="1:16" x14ac:dyDescent="0.3">
      <c r="A156" s="1">
        <v>45812</v>
      </c>
      <c r="B156" t="s">
        <v>54</v>
      </c>
      <c r="C156">
        <v>3</v>
      </c>
      <c r="D156" t="s">
        <v>27</v>
      </c>
      <c r="E156" t="s">
        <v>28</v>
      </c>
      <c r="F156">
        <v>0</v>
      </c>
      <c r="G156">
        <v>0</v>
      </c>
      <c r="H156">
        <v>103.5</v>
      </c>
      <c r="I156">
        <v>93.8</v>
      </c>
      <c r="J156">
        <v>65</v>
      </c>
      <c r="K156">
        <v>4715</v>
      </c>
      <c r="L156">
        <v>6.8</v>
      </c>
      <c r="M156" t="s">
        <v>29</v>
      </c>
      <c r="N156" t="s">
        <v>30</v>
      </c>
      <c r="O156" t="b">
        <v>1</v>
      </c>
      <c r="P156" t="b">
        <v>0</v>
      </c>
    </row>
    <row r="157" spans="1:16" x14ac:dyDescent="0.3">
      <c r="A157" s="1">
        <v>45813</v>
      </c>
      <c r="B157" t="s">
        <v>55</v>
      </c>
      <c r="C157">
        <v>4</v>
      </c>
      <c r="D157" t="s">
        <v>27</v>
      </c>
      <c r="E157" t="s">
        <v>28</v>
      </c>
      <c r="F157">
        <v>0</v>
      </c>
      <c r="G157">
        <v>0</v>
      </c>
      <c r="H157">
        <v>102.8</v>
      </c>
      <c r="I157">
        <v>93.8</v>
      </c>
      <c r="J157">
        <v>71</v>
      </c>
      <c r="K157">
        <v>5378</v>
      </c>
      <c r="L157">
        <v>7.8</v>
      </c>
      <c r="M157" t="s">
        <v>29</v>
      </c>
      <c r="N157" t="s">
        <v>34</v>
      </c>
      <c r="O157" t="b">
        <v>1</v>
      </c>
      <c r="P157" t="b">
        <v>0</v>
      </c>
    </row>
    <row r="158" spans="1:16" x14ac:dyDescent="0.3">
      <c r="A158" s="1">
        <v>45814</v>
      </c>
      <c r="B158" t="s">
        <v>59</v>
      </c>
      <c r="C158">
        <v>5</v>
      </c>
      <c r="D158" t="s">
        <v>49</v>
      </c>
      <c r="E158" t="s">
        <v>52</v>
      </c>
      <c r="F158">
        <v>73</v>
      </c>
      <c r="G158">
        <v>530</v>
      </c>
      <c r="H158">
        <v>102.5</v>
      </c>
      <c r="I158">
        <v>93.7</v>
      </c>
      <c r="J158">
        <v>157</v>
      </c>
      <c r="K158">
        <v>13376</v>
      </c>
      <c r="L158">
        <v>6.7</v>
      </c>
      <c r="M158" t="s">
        <v>22</v>
      </c>
      <c r="N158" t="s">
        <v>53</v>
      </c>
      <c r="O158" t="b">
        <v>0</v>
      </c>
      <c r="P158" t="b">
        <v>0</v>
      </c>
    </row>
    <row r="159" spans="1:16" x14ac:dyDescent="0.3">
      <c r="A159" s="1">
        <v>45815</v>
      </c>
      <c r="B159" t="s">
        <v>61</v>
      </c>
      <c r="C159">
        <v>6</v>
      </c>
      <c r="D159" t="s">
        <v>40</v>
      </c>
      <c r="E159" t="s">
        <v>41</v>
      </c>
      <c r="F159">
        <v>25</v>
      </c>
      <c r="G159">
        <v>196</v>
      </c>
      <c r="H159">
        <v>101.8</v>
      </c>
      <c r="I159">
        <v>93.7</v>
      </c>
      <c r="J159">
        <v>159</v>
      </c>
      <c r="K159">
        <v>6162</v>
      </c>
      <c r="L159">
        <v>6.4</v>
      </c>
      <c r="M159" t="s">
        <v>19</v>
      </c>
      <c r="N159" t="s">
        <v>48</v>
      </c>
      <c r="O159" t="b">
        <v>0</v>
      </c>
      <c r="P159" t="b">
        <v>0</v>
      </c>
    </row>
    <row r="160" spans="1:16" x14ac:dyDescent="0.3">
      <c r="A160" s="1">
        <v>45816</v>
      </c>
      <c r="B160" t="s">
        <v>63</v>
      </c>
      <c r="C160">
        <v>7</v>
      </c>
      <c r="D160" t="s">
        <v>27</v>
      </c>
      <c r="E160" t="s">
        <v>28</v>
      </c>
      <c r="F160">
        <v>0</v>
      </c>
      <c r="G160">
        <v>0</v>
      </c>
      <c r="H160">
        <v>100.8</v>
      </c>
      <c r="I160">
        <v>93.6</v>
      </c>
      <c r="J160">
        <v>74</v>
      </c>
      <c r="K160">
        <v>4031</v>
      </c>
      <c r="L160">
        <v>7.3</v>
      </c>
      <c r="M160" t="s">
        <v>29</v>
      </c>
      <c r="N160" t="s">
        <v>30</v>
      </c>
      <c r="O160" t="b">
        <v>0</v>
      </c>
      <c r="P160" t="b">
        <v>0</v>
      </c>
    </row>
    <row r="161" spans="1:16" x14ac:dyDescent="0.3">
      <c r="A161" s="1">
        <v>45817</v>
      </c>
      <c r="B161" t="s">
        <v>16</v>
      </c>
      <c r="C161">
        <v>1</v>
      </c>
      <c r="D161" t="s">
        <v>17</v>
      </c>
      <c r="E161" t="s">
        <v>21</v>
      </c>
      <c r="F161">
        <v>33</v>
      </c>
      <c r="G161">
        <v>498</v>
      </c>
      <c r="H161">
        <v>101.9</v>
      </c>
      <c r="I161">
        <v>93.6</v>
      </c>
      <c r="J161">
        <v>154</v>
      </c>
      <c r="K161">
        <v>13276</v>
      </c>
      <c r="L161">
        <v>8.3000000000000007</v>
      </c>
      <c r="M161" t="s">
        <v>22</v>
      </c>
      <c r="N161" t="s">
        <v>35</v>
      </c>
      <c r="O161" t="b">
        <v>0</v>
      </c>
      <c r="P161" t="b">
        <v>0</v>
      </c>
    </row>
    <row r="162" spans="1:16" x14ac:dyDescent="0.3">
      <c r="A162" s="1">
        <v>45818</v>
      </c>
      <c r="B162" t="s">
        <v>39</v>
      </c>
      <c r="C162">
        <v>2</v>
      </c>
      <c r="D162" t="s">
        <v>17</v>
      </c>
      <c r="E162" t="s">
        <v>21</v>
      </c>
      <c r="F162">
        <v>36</v>
      </c>
      <c r="G162">
        <v>403</v>
      </c>
      <c r="H162">
        <v>101.3</v>
      </c>
      <c r="I162">
        <v>93.5</v>
      </c>
      <c r="J162">
        <v>162</v>
      </c>
      <c r="K162">
        <v>12653</v>
      </c>
      <c r="L162">
        <v>8.3000000000000007</v>
      </c>
      <c r="M162" t="s">
        <v>19</v>
      </c>
      <c r="N162" t="s">
        <v>31</v>
      </c>
      <c r="O162" t="b">
        <v>0</v>
      </c>
      <c r="P162" t="b">
        <v>0</v>
      </c>
    </row>
    <row r="163" spans="1:16" x14ac:dyDescent="0.3">
      <c r="A163" s="1">
        <v>45819</v>
      </c>
      <c r="B163" t="s">
        <v>54</v>
      </c>
      <c r="C163">
        <v>3</v>
      </c>
      <c r="D163" t="s">
        <v>17</v>
      </c>
      <c r="E163" t="s">
        <v>18</v>
      </c>
      <c r="F163">
        <v>42</v>
      </c>
      <c r="G163">
        <v>508</v>
      </c>
      <c r="H163">
        <v>103</v>
      </c>
      <c r="I163">
        <v>93.5</v>
      </c>
      <c r="J163">
        <v>141</v>
      </c>
      <c r="K163">
        <v>9397</v>
      </c>
      <c r="L163">
        <v>7.1</v>
      </c>
      <c r="M163" t="s">
        <v>19</v>
      </c>
      <c r="N163" t="s">
        <v>35</v>
      </c>
      <c r="O163" t="b">
        <v>0</v>
      </c>
      <c r="P163" t="b">
        <v>0</v>
      </c>
    </row>
    <row r="164" spans="1:16" x14ac:dyDescent="0.3">
      <c r="A164" s="1">
        <v>45820</v>
      </c>
      <c r="B164" t="s">
        <v>55</v>
      </c>
      <c r="C164">
        <v>4</v>
      </c>
      <c r="D164" t="s">
        <v>36</v>
      </c>
      <c r="E164" t="s">
        <v>56</v>
      </c>
      <c r="F164">
        <v>55</v>
      </c>
      <c r="G164">
        <v>176</v>
      </c>
      <c r="H164">
        <v>102.2</v>
      </c>
      <c r="I164">
        <v>93.4</v>
      </c>
      <c r="J164">
        <v>93</v>
      </c>
      <c r="K164">
        <v>6297</v>
      </c>
      <c r="L164">
        <v>8.5</v>
      </c>
      <c r="M164" t="s">
        <v>29</v>
      </c>
      <c r="N164" t="s">
        <v>38</v>
      </c>
      <c r="O164" t="b">
        <v>0</v>
      </c>
      <c r="P164" t="b">
        <v>0</v>
      </c>
    </row>
    <row r="165" spans="1:16" x14ac:dyDescent="0.3">
      <c r="A165" s="1">
        <v>45821</v>
      </c>
      <c r="B165" t="s">
        <v>59</v>
      </c>
      <c r="C165">
        <v>5</v>
      </c>
      <c r="D165" t="s">
        <v>17</v>
      </c>
      <c r="E165" t="s">
        <v>21</v>
      </c>
      <c r="F165">
        <v>44</v>
      </c>
      <c r="G165">
        <v>615</v>
      </c>
      <c r="H165">
        <v>101.6</v>
      </c>
      <c r="I165">
        <v>93.4</v>
      </c>
      <c r="J165">
        <v>167</v>
      </c>
      <c r="K165">
        <v>8659</v>
      </c>
      <c r="L165">
        <v>6.7</v>
      </c>
      <c r="M165" t="s">
        <v>19</v>
      </c>
      <c r="N165" t="s">
        <v>31</v>
      </c>
      <c r="O165" t="b">
        <v>0</v>
      </c>
      <c r="P165" t="b">
        <v>0</v>
      </c>
    </row>
    <row r="166" spans="1:16" x14ac:dyDescent="0.3">
      <c r="A166" s="1">
        <v>45822</v>
      </c>
      <c r="B166" t="s">
        <v>61</v>
      </c>
      <c r="C166">
        <v>6</v>
      </c>
      <c r="D166" t="s">
        <v>17</v>
      </c>
      <c r="E166" t="s">
        <v>18</v>
      </c>
      <c r="F166">
        <v>31</v>
      </c>
      <c r="G166">
        <v>340</v>
      </c>
      <c r="H166">
        <v>100.7</v>
      </c>
      <c r="I166">
        <v>93.3</v>
      </c>
      <c r="J166">
        <v>169</v>
      </c>
      <c r="K166">
        <v>10680</v>
      </c>
      <c r="L166">
        <v>7.7</v>
      </c>
      <c r="M166" t="s">
        <v>22</v>
      </c>
      <c r="N166" t="s">
        <v>26</v>
      </c>
      <c r="O166" t="b">
        <v>0</v>
      </c>
      <c r="P166" t="b">
        <v>0</v>
      </c>
    </row>
    <row r="167" spans="1:16" x14ac:dyDescent="0.3">
      <c r="A167" s="1">
        <v>45823</v>
      </c>
      <c r="B167" t="s">
        <v>63</v>
      </c>
      <c r="C167">
        <v>7</v>
      </c>
      <c r="D167" t="s">
        <v>27</v>
      </c>
      <c r="E167" t="s">
        <v>28</v>
      </c>
      <c r="F167">
        <v>0</v>
      </c>
      <c r="G167">
        <v>0</v>
      </c>
      <c r="H167">
        <v>99.8</v>
      </c>
      <c r="I167">
        <v>93.2</v>
      </c>
      <c r="J167">
        <v>67</v>
      </c>
      <c r="K167">
        <v>5378</v>
      </c>
      <c r="L167">
        <v>8.8000000000000007</v>
      </c>
      <c r="M167" t="s">
        <v>29</v>
      </c>
      <c r="N167" t="s">
        <v>34</v>
      </c>
      <c r="O167" t="b">
        <v>0</v>
      </c>
      <c r="P167" t="b">
        <v>0</v>
      </c>
    </row>
    <row r="168" spans="1:16" x14ac:dyDescent="0.3">
      <c r="A168" s="1">
        <v>45824</v>
      </c>
      <c r="B168" t="s">
        <v>16</v>
      </c>
      <c r="C168">
        <v>1</v>
      </c>
      <c r="D168" t="s">
        <v>36</v>
      </c>
      <c r="E168" t="s">
        <v>37</v>
      </c>
      <c r="F168">
        <v>26</v>
      </c>
      <c r="G168">
        <v>104</v>
      </c>
      <c r="H168">
        <v>101.8</v>
      </c>
      <c r="I168">
        <v>93.2</v>
      </c>
      <c r="J168">
        <v>86</v>
      </c>
      <c r="K168">
        <v>5919</v>
      </c>
      <c r="L168">
        <v>7.2</v>
      </c>
      <c r="M168" t="s">
        <v>29</v>
      </c>
      <c r="N168" t="s">
        <v>38</v>
      </c>
      <c r="O168" t="b">
        <v>0</v>
      </c>
      <c r="P168" t="b">
        <v>0</v>
      </c>
    </row>
    <row r="169" spans="1:16" x14ac:dyDescent="0.3">
      <c r="A169" s="1">
        <v>45825</v>
      </c>
      <c r="B169" t="s">
        <v>39</v>
      </c>
      <c r="C169">
        <v>2</v>
      </c>
      <c r="D169" t="s">
        <v>17</v>
      </c>
      <c r="E169" t="s">
        <v>32</v>
      </c>
      <c r="F169">
        <v>60</v>
      </c>
      <c r="G169">
        <v>578</v>
      </c>
      <c r="H169">
        <v>100</v>
      </c>
      <c r="I169">
        <v>93.1</v>
      </c>
      <c r="J169">
        <v>142</v>
      </c>
      <c r="K169">
        <v>12327</v>
      </c>
      <c r="L169">
        <v>7.5</v>
      </c>
      <c r="M169" t="s">
        <v>19</v>
      </c>
      <c r="N169" t="s">
        <v>35</v>
      </c>
      <c r="O169" t="b">
        <v>0</v>
      </c>
      <c r="P169" t="b">
        <v>0</v>
      </c>
    </row>
    <row r="170" spans="1:16" x14ac:dyDescent="0.3">
      <c r="A170" s="1">
        <v>45826</v>
      </c>
      <c r="B170" t="s">
        <v>54</v>
      </c>
      <c r="C170">
        <v>3</v>
      </c>
      <c r="D170" t="s">
        <v>17</v>
      </c>
      <c r="E170" t="s">
        <v>18</v>
      </c>
      <c r="F170">
        <v>60</v>
      </c>
      <c r="G170">
        <v>794</v>
      </c>
      <c r="H170">
        <v>101.5</v>
      </c>
      <c r="I170">
        <v>93.1</v>
      </c>
      <c r="J170">
        <v>166</v>
      </c>
      <c r="K170">
        <v>12262</v>
      </c>
      <c r="L170">
        <v>9.4</v>
      </c>
      <c r="M170" t="s">
        <v>19</v>
      </c>
      <c r="N170" t="s">
        <v>26</v>
      </c>
      <c r="O170" t="b">
        <v>0</v>
      </c>
      <c r="P170" t="b">
        <v>0</v>
      </c>
    </row>
    <row r="171" spans="1:16" x14ac:dyDescent="0.3">
      <c r="A171" s="1">
        <v>45827</v>
      </c>
      <c r="B171" t="s">
        <v>55</v>
      </c>
      <c r="C171">
        <v>4</v>
      </c>
      <c r="D171" t="s">
        <v>36</v>
      </c>
      <c r="E171" t="s">
        <v>56</v>
      </c>
      <c r="F171">
        <v>43</v>
      </c>
      <c r="G171">
        <v>118</v>
      </c>
      <c r="H171">
        <v>102.3</v>
      </c>
      <c r="I171">
        <v>93</v>
      </c>
      <c r="J171">
        <v>100</v>
      </c>
      <c r="K171">
        <v>5185</v>
      </c>
      <c r="L171">
        <v>7.2</v>
      </c>
      <c r="M171" t="s">
        <v>29</v>
      </c>
      <c r="N171" t="s">
        <v>58</v>
      </c>
      <c r="O171" t="b">
        <v>0</v>
      </c>
      <c r="P171" t="b">
        <v>0</v>
      </c>
    </row>
    <row r="172" spans="1:16" x14ac:dyDescent="0.3">
      <c r="A172" s="1">
        <v>45828</v>
      </c>
      <c r="B172" t="s">
        <v>59</v>
      </c>
      <c r="C172">
        <v>5</v>
      </c>
      <c r="D172" t="s">
        <v>17</v>
      </c>
      <c r="E172" t="s">
        <v>21</v>
      </c>
      <c r="F172">
        <v>59</v>
      </c>
      <c r="G172">
        <v>980</v>
      </c>
      <c r="H172">
        <v>102.2</v>
      </c>
      <c r="I172">
        <v>93</v>
      </c>
      <c r="J172">
        <v>157</v>
      </c>
      <c r="K172">
        <v>12678</v>
      </c>
      <c r="L172">
        <v>7.6</v>
      </c>
      <c r="M172" t="s">
        <v>22</v>
      </c>
      <c r="N172" t="s">
        <v>26</v>
      </c>
      <c r="O172" t="b">
        <v>0</v>
      </c>
      <c r="P172" t="b">
        <v>0</v>
      </c>
    </row>
    <row r="173" spans="1:16" x14ac:dyDescent="0.3">
      <c r="A173" s="1">
        <v>45829</v>
      </c>
      <c r="B173" t="s">
        <v>61</v>
      </c>
      <c r="C173">
        <v>6</v>
      </c>
      <c r="D173" t="s">
        <v>40</v>
      </c>
      <c r="E173" t="s">
        <v>43</v>
      </c>
      <c r="F173">
        <v>36</v>
      </c>
      <c r="G173">
        <v>275</v>
      </c>
      <c r="H173">
        <v>101.3</v>
      </c>
      <c r="I173">
        <v>92.9</v>
      </c>
      <c r="J173">
        <v>142</v>
      </c>
      <c r="K173">
        <v>8489</v>
      </c>
      <c r="L173">
        <v>6.7</v>
      </c>
      <c r="M173" t="s">
        <v>19</v>
      </c>
      <c r="N173" t="s">
        <v>48</v>
      </c>
      <c r="O173" t="b">
        <v>0</v>
      </c>
      <c r="P173" t="b">
        <v>0</v>
      </c>
    </row>
    <row r="174" spans="1:16" x14ac:dyDescent="0.3">
      <c r="A174" s="1">
        <v>45830</v>
      </c>
      <c r="B174" t="s">
        <v>63</v>
      </c>
      <c r="C174">
        <v>7</v>
      </c>
      <c r="D174" t="s">
        <v>27</v>
      </c>
      <c r="E174" t="s">
        <v>28</v>
      </c>
      <c r="F174">
        <v>0</v>
      </c>
      <c r="G174">
        <v>0</v>
      </c>
      <c r="H174">
        <v>99.5</v>
      </c>
      <c r="I174">
        <v>92.9</v>
      </c>
      <c r="J174">
        <v>73</v>
      </c>
      <c r="K174">
        <v>5773</v>
      </c>
      <c r="L174">
        <v>6.4</v>
      </c>
      <c r="M174" t="s">
        <v>29</v>
      </c>
      <c r="N174" t="s">
        <v>34</v>
      </c>
      <c r="O174" t="b">
        <v>0</v>
      </c>
      <c r="P174" t="b">
        <v>0</v>
      </c>
    </row>
    <row r="175" spans="1:16" x14ac:dyDescent="0.3">
      <c r="A175" s="1">
        <v>45831</v>
      </c>
      <c r="B175" t="s">
        <v>16</v>
      </c>
      <c r="C175">
        <v>1</v>
      </c>
      <c r="D175" t="s">
        <v>17</v>
      </c>
      <c r="E175" t="s">
        <v>21</v>
      </c>
      <c r="F175">
        <v>59</v>
      </c>
      <c r="G175">
        <v>867</v>
      </c>
      <c r="H175">
        <v>99.6</v>
      </c>
      <c r="I175">
        <v>92.8</v>
      </c>
      <c r="J175">
        <v>149</v>
      </c>
      <c r="K175">
        <v>10151</v>
      </c>
      <c r="L175">
        <v>7.3</v>
      </c>
      <c r="M175" t="s">
        <v>22</v>
      </c>
      <c r="N175" t="s">
        <v>20</v>
      </c>
      <c r="O175" t="b">
        <v>0</v>
      </c>
      <c r="P175" t="b">
        <v>0</v>
      </c>
    </row>
    <row r="176" spans="1:16" x14ac:dyDescent="0.3">
      <c r="A176" s="1">
        <v>45832</v>
      </c>
      <c r="B176" t="s">
        <v>39</v>
      </c>
      <c r="C176">
        <v>2</v>
      </c>
      <c r="D176" t="s">
        <v>40</v>
      </c>
      <c r="E176" t="s">
        <v>43</v>
      </c>
      <c r="F176">
        <v>31</v>
      </c>
      <c r="G176">
        <v>234</v>
      </c>
      <c r="H176">
        <v>101</v>
      </c>
      <c r="I176">
        <v>92.8</v>
      </c>
      <c r="J176">
        <v>149</v>
      </c>
      <c r="K176">
        <v>6829</v>
      </c>
      <c r="L176">
        <v>6.9</v>
      </c>
      <c r="M176" t="s">
        <v>19</v>
      </c>
      <c r="N176" t="s">
        <v>48</v>
      </c>
      <c r="O176" t="b">
        <v>0</v>
      </c>
      <c r="P176" t="b">
        <v>0</v>
      </c>
    </row>
    <row r="177" spans="1:16" x14ac:dyDescent="0.3">
      <c r="A177" s="1">
        <v>45833</v>
      </c>
      <c r="B177" t="s">
        <v>54</v>
      </c>
      <c r="C177">
        <v>3</v>
      </c>
      <c r="D177" t="s">
        <v>17</v>
      </c>
      <c r="E177" t="s">
        <v>25</v>
      </c>
      <c r="F177">
        <v>26</v>
      </c>
      <c r="G177">
        <v>233</v>
      </c>
      <c r="H177">
        <v>100.7</v>
      </c>
      <c r="I177">
        <v>92.8</v>
      </c>
      <c r="J177">
        <v>153</v>
      </c>
      <c r="K177">
        <v>12273</v>
      </c>
      <c r="L177">
        <v>6</v>
      </c>
      <c r="M177" t="s">
        <v>22</v>
      </c>
      <c r="N177" t="s">
        <v>24</v>
      </c>
      <c r="O177" t="b">
        <v>0</v>
      </c>
      <c r="P177" t="b">
        <v>0</v>
      </c>
    </row>
    <row r="178" spans="1:16" x14ac:dyDescent="0.3">
      <c r="A178" s="1">
        <v>45834</v>
      </c>
      <c r="B178" t="s">
        <v>55</v>
      </c>
      <c r="C178">
        <v>4</v>
      </c>
      <c r="D178" t="s">
        <v>36</v>
      </c>
      <c r="E178" t="s">
        <v>37</v>
      </c>
      <c r="F178">
        <v>38</v>
      </c>
      <c r="G178">
        <v>116</v>
      </c>
      <c r="H178">
        <v>101.5</v>
      </c>
      <c r="I178">
        <v>92.7</v>
      </c>
      <c r="J178">
        <v>96</v>
      </c>
      <c r="K178">
        <v>4839</v>
      </c>
      <c r="L178">
        <v>6</v>
      </c>
      <c r="M178" t="s">
        <v>29</v>
      </c>
      <c r="N178" t="s">
        <v>57</v>
      </c>
      <c r="O178" t="b">
        <v>0</v>
      </c>
      <c r="P178" t="b">
        <v>0</v>
      </c>
    </row>
    <row r="179" spans="1:16" x14ac:dyDescent="0.3">
      <c r="A179" s="1">
        <v>45835</v>
      </c>
      <c r="B179" t="s">
        <v>59</v>
      </c>
      <c r="C179">
        <v>5</v>
      </c>
      <c r="D179" t="s">
        <v>17</v>
      </c>
      <c r="E179" t="s">
        <v>18</v>
      </c>
      <c r="F179">
        <v>50</v>
      </c>
      <c r="G179">
        <v>618</v>
      </c>
      <c r="H179">
        <v>100.5</v>
      </c>
      <c r="I179">
        <v>92.7</v>
      </c>
      <c r="J179">
        <v>144</v>
      </c>
      <c r="K179">
        <v>12688</v>
      </c>
      <c r="L179">
        <v>8.1999999999999993</v>
      </c>
      <c r="M179" t="s">
        <v>19</v>
      </c>
      <c r="N179" t="s">
        <v>24</v>
      </c>
      <c r="O179" t="b">
        <v>0</v>
      </c>
      <c r="P179" t="b">
        <v>0</v>
      </c>
    </row>
    <row r="180" spans="1:16" x14ac:dyDescent="0.3">
      <c r="A180" s="1">
        <v>45836</v>
      </c>
      <c r="B180" t="s">
        <v>61</v>
      </c>
      <c r="C180">
        <v>6</v>
      </c>
      <c r="D180" t="s">
        <v>27</v>
      </c>
      <c r="E180" t="s">
        <v>28</v>
      </c>
      <c r="F180">
        <v>0</v>
      </c>
      <c r="G180">
        <v>0</v>
      </c>
      <c r="H180">
        <v>100.1</v>
      </c>
      <c r="I180">
        <v>92.6</v>
      </c>
      <c r="J180">
        <v>73</v>
      </c>
      <c r="K180">
        <v>5956</v>
      </c>
      <c r="L180">
        <v>7.2</v>
      </c>
      <c r="M180" t="s">
        <v>29</v>
      </c>
      <c r="N180" t="s">
        <v>47</v>
      </c>
      <c r="O180" t="b">
        <v>1</v>
      </c>
      <c r="P180" t="b">
        <v>0</v>
      </c>
    </row>
    <row r="181" spans="1:16" x14ac:dyDescent="0.3">
      <c r="A181" s="1">
        <v>45837</v>
      </c>
      <c r="B181" t="s">
        <v>63</v>
      </c>
      <c r="C181">
        <v>7</v>
      </c>
      <c r="D181" t="s">
        <v>27</v>
      </c>
      <c r="E181" t="s">
        <v>28</v>
      </c>
      <c r="F181">
        <v>0</v>
      </c>
      <c r="G181">
        <v>0</v>
      </c>
      <c r="H181">
        <v>100.7</v>
      </c>
      <c r="I181">
        <v>92.6</v>
      </c>
      <c r="J181">
        <v>66</v>
      </c>
      <c r="K181">
        <v>3419</v>
      </c>
      <c r="L181">
        <v>8.8000000000000007</v>
      </c>
      <c r="M181" t="s">
        <v>29</v>
      </c>
      <c r="N181" t="s">
        <v>47</v>
      </c>
      <c r="O181" t="b">
        <v>1</v>
      </c>
      <c r="P181" t="b">
        <v>0</v>
      </c>
    </row>
    <row r="182" spans="1:16" x14ac:dyDescent="0.3">
      <c r="A182" s="1">
        <v>45838</v>
      </c>
      <c r="B182" t="s">
        <v>16</v>
      </c>
      <c r="C182">
        <v>1</v>
      </c>
      <c r="D182" t="s">
        <v>27</v>
      </c>
      <c r="E182" t="s">
        <v>28</v>
      </c>
      <c r="F182">
        <v>0</v>
      </c>
      <c r="G182">
        <v>0</v>
      </c>
      <c r="H182">
        <v>100.4</v>
      </c>
      <c r="I182">
        <v>92.5</v>
      </c>
      <c r="J182">
        <v>66</v>
      </c>
      <c r="K182">
        <v>4999</v>
      </c>
      <c r="L182">
        <v>7</v>
      </c>
      <c r="M182" t="s">
        <v>29</v>
      </c>
      <c r="N182" t="s">
        <v>30</v>
      </c>
      <c r="O182" t="b">
        <v>1</v>
      </c>
      <c r="P182" t="b">
        <v>0</v>
      </c>
    </row>
    <row r="183" spans="1:16" x14ac:dyDescent="0.3">
      <c r="A183" s="1">
        <v>45839</v>
      </c>
      <c r="B183" t="s">
        <v>39</v>
      </c>
      <c r="C183">
        <v>2</v>
      </c>
      <c r="D183" t="s">
        <v>27</v>
      </c>
      <c r="E183" t="s">
        <v>28</v>
      </c>
      <c r="F183">
        <v>0</v>
      </c>
      <c r="G183">
        <v>0</v>
      </c>
      <c r="H183">
        <v>100.9</v>
      </c>
      <c r="I183">
        <v>92.5</v>
      </c>
      <c r="J183">
        <v>68</v>
      </c>
      <c r="K183">
        <v>3856</v>
      </c>
      <c r="L183">
        <v>7</v>
      </c>
      <c r="M183" t="s">
        <v>29</v>
      </c>
      <c r="N183" t="s">
        <v>34</v>
      </c>
      <c r="O183" t="b">
        <v>1</v>
      </c>
      <c r="P183" t="b">
        <v>0</v>
      </c>
    </row>
    <row r="184" spans="1:16" x14ac:dyDescent="0.3">
      <c r="A184" s="1">
        <v>45840</v>
      </c>
      <c r="B184" t="s">
        <v>54</v>
      </c>
      <c r="C184">
        <v>3</v>
      </c>
      <c r="D184" t="s">
        <v>27</v>
      </c>
      <c r="E184" t="s">
        <v>28</v>
      </c>
      <c r="F184">
        <v>0</v>
      </c>
      <c r="G184">
        <v>0</v>
      </c>
      <c r="H184">
        <v>102.1</v>
      </c>
      <c r="I184">
        <v>92.4</v>
      </c>
      <c r="J184">
        <v>73</v>
      </c>
      <c r="K184">
        <v>4739</v>
      </c>
      <c r="L184">
        <v>7.1</v>
      </c>
      <c r="M184" t="s">
        <v>29</v>
      </c>
      <c r="N184" t="s">
        <v>47</v>
      </c>
      <c r="O184" t="b">
        <v>1</v>
      </c>
      <c r="P184" t="b">
        <v>0</v>
      </c>
    </row>
    <row r="185" spans="1:16" x14ac:dyDescent="0.3">
      <c r="A185" s="1">
        <v>45841</v>
      </c>
      <c r="B185" t="s">
        <v>55</v>
      </c>
      <c r="C185">
        <v>4</v>
      </c>
      <c r="D185" t="s">
        <v>27</v>
      </c>
      <c r="E185" t="s">
        <v>28</v>
      </c>
      <c r="F185">
        <v>0</v>
      </c>
      <c r="G185">
        <v>0</v>
      </c>
      <c r="H185">
        <v>100.8</v>
      </c>
      <c r="I185">
        <v>92.4</v>
      </c>
      <c r="J185">
        <v>66</v>
      </c>
      <c r="K185">
        <v>4947</v>
      </c>
      <c r="L185">
        <v>6.8</v>
      </c>
      <c r="M185" t="s">
        <v>29</v>
      </c>
      <c r="N185" t="s">
        <v>34</v>
      </c>
      <c r="O185" t="b">
        <v>1</v>
      </c>
      <c r="P185" t="b">
        <v>0</v>
      </c>
    </row>
    <row r="186" spans="1:16" x14ac:dyDescent="0.3">
      <c r="A186" s="1">
        <v>45842</v>
      </c>
      <c r="B186" t="s">
        <v>59</v>
      </c>
      <c r="C186">
        <v>5</v>
      </c>
      <c r="D186" t="s">
        <v>27</v>
      </c>
      <c r="E186" t="s">
        <v>28</v>
      </c>
      <c r="F186">
        <v>0</v>
      </c>
      <c r="G186">
        <v>0</v>
      </c>
      <c r="H186">
        <v>102.1</v>
      </c>
      <c r="I186">
        <v>92.4</v>
      </c>
      <c r="J186">
        <v>70</v>
      </c>
      <c r="K186">
        <v>4787</v>
      </c>
      <c r="L186">
        <v>7.9</v>
      </c>
      <c r="M186" t="s">
        <v>29</v>
      </c>
      <c r="N186" t="s">
        <v>30</v>
      </c>
      <c r="O186" t="b">
        <v>1</v>
      </c>
      <c r="P186" t="b">
        <v>0</v>
      </c>
    </row>
    <row r="187" spans="1:16" x14ac:dyDescent="0.3">
      <c r="A187" s="1">
        <v>45843</v>
      </c>
      <c r="B187" t="s">
        <v>61</v>
      </c>
      <c r="C187">
        <v>6</v>
      </c>
      <c r="D187" t="s">
        <v>27</v>
      </c>
      <c r="E187" t="s">
        <v>28</v>
      </c>
      <c r="F187">
        <v>0</v>
      </c>
      <c r="G187">
        <v>0</v>
      </c>
      <c r="H187">
        <v>100.3</v>
      </c>
      <c r="I187">
        <v>92.3</v>
      </c>
      <c r="J187">
        <v>71</v>
      </c>
      <c r="K187">
        <v>5079</v>
      </c>
      <c r="L187">
        <v>6.8</v>
      </c>
      <c r="M187" t="s">
        <v>29</v>
      </c>
      <c r="N187" t="s">
        <v>34</v>
      </c>
      <c r="O187" t="b">
        <v>1</v>
      </c>
      <c r="P187" t="b">
        <v>0</v>
      </c>
    </row>
    <row r="188" spans="1:16" x14ac:dyDescent="0.3">
      <c r="A188" s="1">
        <v>45844</v>
      </c>
      <c r="B188" t="s">
        <v>63</v>
      </c>
      <c r="C188">
        <v>7</v>
      </c>
      <c r="D188" t="s">
        <v>27</v>
      </c>
      <c r="E188" t="s">
        <v>28</v>
      </c>
      <c r="F188">
        <v>0</v>
      </c>
      <c r="G188">
        <v>0</v>
      </c>
      <c r="H188">
        <v>100.6</v>
      </c>
      <c r="I188">
        <v>92.3</v>
      </c>
      <c r="J188">
        <v>70</v>
      </c>
      <c r="K188">
        <v>5232</v>
      </c>
      <c r="L188">
        <v>6.4</v>
      </c>
      <c r="M188" t="s">
        <v>29</v>
      </c>
      <c r="N188" t="s">
        <v>47</v>
      </c>
      <c r="O188" t="b">
        <v>0</v>
      </c>
      <c r="P188" t="b">
        <v>0</v>
      </c>
    </row>
    <row r="189" spans="1:16" x14ac:dyDescent="0.3">
      <c r="A189" s="1">
        <v>45845</v>
      </c>
      <c r="B189" t="s">
        <v>16</v>
      </c>
      <c r="C189">
        <v>1</v>
      </c>
      <c r="D189" t="s">
        <v>17</v>
      </c>
      <c r="E189" t="s">
        <v>18</v>
      </c>
      <c r="F189">
        <v>46</v>
      </c>
      <c r="G189">
        <v>342</v>
      </c>
      <c r="H189">
        <v>101.7</v>
      </c>
      <c r="I189">
        <v>92.2</v>
      </c>
      <c r="J189">
        <v>145</v>
      </c>
      <c r="K189">
        <v>12113</v>
      </c>
      <c r="L189">
        <v>7.3</v>
      </c>
      <c r="M189" t="s">
        <v>22</v>
      </c>
      <c r="N189" t="s">
        <v>33</v>
      </c>
      <c r="O189" t="b">
        <v>0</v>
      </c>
      <c r="P189" t="b">
        <v>0</v>
      </c>
    </row>
    <row r="190" spans="1:16" x14ac:dyDescent="0.3">
      <c r="A190" s="1">
        <v>45846</v>
      </c>
      <c r="B190" t="s">
        <v>39</v>
      </c>
      <c r="C190">
        <v>2</v>
      </c>
      <c r="D190" t="s">
        <v>40</v>
      </c>
      <c r="E190" t="s">
        <v>43</v>
      </c>
      <c r="F190">
        <v>39</v>
      </c>
      <c r="G190">
        <v>448</v>
      </c>
      <c r="H190">
        <v>102.1</v>
      </c>
      <c r="I190">
        <v>92.2</v>
      </c>
      <c r="J190">
        <v>136</v>
      </c>
      <c r="K190">
        <v>5985</v>
      </c>
      <c r="L190">
        <v>7.6</v>
      </c>
      <c r="M190" t="s">
        <v>22</v>
      </c>
      <c r="N190" t="s">
        <v>45</v>
      </c>
      <c r="O190" t="b">
        <v>0</v>
      </c>
      <c r="P190" t="b">
        <v>0</v>
      </c>
    </row>
    <row r="191" spans="1:16" x14ac:dyDescent="0.3">
      <c r="A191" s="1">
        <v>45847</v>
      </c>
      <c r="B191" t="s">
        <v>54</v>
      </c>
      <c r="C191">
        <v>3</v>
      </c>
      <c r="D191" t="s">
        <v>17</v>
      </c>
      <c r="E191" t="s">
        <v>32</v>
      </c>
      <c r="F191">
        <v>59</v>
      </c>
      <c r="G191">
        <v>726</v>
      </c>
      <c r="H191">
        <v>101</v>
      </c>
      <c r="I191">
        <v>92.1</v>
      </c>
      <c r="J191">
        <v>166</v>
      </c>
      <c r="K191">
        <v>14252</v>
      </c>
      <c r="L191">
        <v>7.1</v>
      </c>
      <c r="M191" t="s">
        <v>19</v>
      </c>
      <c r="N191" t="s">
        <v>35</v>
      </c>
      <c r="O191" t="b">
        <v>0</v>
      </c>
      <c r="P191" t="b">
        <v>0</v>
      </c>
    </row>
    <row r="192" spans="1:16" x14ac:dyDescent="0.3">
      <c r="A192" s="1">
        <v>45848</v>
      </c>
      <c r="B192" t="s">
        <v>55</v>
      </c>
      <c r="C192">
        <v>4</v>
      </c>
      <c r="D192" t="s">
        <v>36</v>
      </c>
      <c r="E192" t="s">
        <v>37</v>
      </c>
      <c r="F192">
        <v>41</v>
      </c>
      <c r="G192">
        <v>168</v>
      </c>
      <c r="H192">
        <v>102.1</v>
      </c>
      <c r="I192">
        <v>92.1</v>
      </c>
      <c r="J192">
        <v>88</v>
      </c>
      <c r="K192">
        <v>4068</v>
      </c>
      <c r="L192">
        <v>6.8</v>
      </c>
      <c r="M192" t="s">
        <v>29</v>
      </c>
      <c r="N192" t="s">
        <v>57</v>
      </c>
      <c r="O192" t="b">
        <v>0</v>
      </c>
      <c r="P192" t="b">
        <v>0</v>
      </c>
    </row>
    <row r="193" spans="1:16" x14ac:dyDescent="0.3">
      <c r="A193" s="1">
        <v>45849</v>
      </c>
      <c r="B193" t="s">
        <v>59</v>
      </c>
      <c r="C193">
        <v>5</v>
      </c>
      <c r="D193" t="s">
        <v>17</v>
      </c>
      <c r="E193" t="s">
        <v>25</v>
      </c>
      <c r="F193">
        <v>53</v>
      </c>
      <c r="G193">
        <v>478</v>
      </c>
      <c r="H193">
        <v>100.2</v>
      </c>
      <c r="I193">
        <v>92.1</v>
      </c>
      <c r="J193">
        <v>145</v>
      </c>
      <c r="K193">
        <v>13983</v>
      </c>
      <c r="L193">
        <v>6.3</v>
      </c>
      <c r="M193" t="s">
        <v>19</v>
      </c>
      <c r="N193" t="s">
        <v>35</v>
      </c>
      <c r="O193" t="b">
        <v>0</v>
      </c>
      <c r="P193" t="b">
        <v>0</v>
      </c>
    </row>
    <row r="194" spans="1:16" x14ac:dyDescent="0.3">
      <c r="A194" s="1">
        <v>45850</v>
      </c>
      <c r="B194" t="s">
        <v>61</v>
      </c>
      <c r="C194">
        <v>6</v>
      </c>
      <c r="D194" t="s">
        <v>40</v>
      </c>
      <c r="E194" t="s">
        <v>41</v>
      </c>
      <c r="F194">
        <v>63</v>
      </c>
      <c r="G194">
        <v>621</v>
      </c>
      <c r="H194">
        <v>99.5</v>
      </c>
      <c r="I194">
        <v>92</v>
      </c>
      <c r="J194">
        <v>139</v>
      </c>
      <c r="K194">
        <v>8782</v>
      </c>
      <c r="L194">
        <v>6.4</v>
      </c>
      <c r="M194" t="s">
        <v>19</v>
      </c>
      <c r="N194" t="s">
        <v>46</v>
      </c>
      <c r="O194" t="b">
        <v>0</v>
      </c>
      <c r="P194" t="b">
        <v>0</v>
      </c>
    </row>
    <row r="195" spans="1:16" x14ac:dyDescent="0.3">
      <c r="A195" s="1">
        <v>45851</v>
      </c>
      <c r="B195" t="s">
        <v>63</v>
      </c>
      <c r="C195">
        <v>7</v>
      </c>
      <c r="D195" t="s">
        <v>27</v>
      </c>
      <c r="E195" t="s">
        <v>28</v>
      </c>
      <c r="F195">
        <v>0</v>
      </c>
      <c r="G195">
        <v>0</v>
      </c>
      <c r="H195">
        <v>100.4</v>
      </c>
      <c r="I195">
        <v>92</v>
      </c>
      <c r="J195">
        <v>66</v>
      </c>
      <c r="K195">
        <v>4123</v>
      </c>
      <c r="L195">
        <v>6.7</v>
      </c>
      <c r="M195" t="s">
        <v>29</v>
      </c>
      <c r="N195" t="s">
        <v>47</v>
      </c>
      <c r="O195" t="b">
        <v>0</v>
      </c>
      <c r="P195" t="b">
        <v>0</v>
      </c>
    </row>
    <row r="196" spans="1:16" x14ac:dyDescent="0.3">
      <c r="A196" s="1">
        <v>45852</v>
      </c>
      <c r="B196" t="s">
        <v>16</v>
      </c>
      <c r="C196">
        <v>1</v>
      </c>
      <c r="D196" t="s">
        <v>17</v>
      </c>
      <c r="E196" t="s">
        <v>21</v>
      </c>
      <c r="F196">
        <v>25</v>
      </c>
      <c r="G196">
        <v>304</v>
      </c>
      <c r="H196">
        <v>99.2</v>
      </c>
      <c r="I196">
        <v>91.9</v>
      </c>
      <c r="J196">
        <v>158</v>
      </c>
      <c r="K196">
        <v>14259</v>
      </c>
      <c r="L196">
        <v>6.8</v>
      </c>
      <c r="M196" t="s">
        <v>22</v>
      </c>
      <c r="N196" t="s">
        <v>31</v>
      </c>
      <c r="O196" t="b">
        <v>0</v>
      </c>
      <c r="P196" t="b">
        <v>0</v>
      </c>
    </row>
    <row r="197" spans="1:16" x14ac:dyDescent="0.3">
      <c r="A197" s="1">
        <v>45853</v>
      </c>
      <c r="B197" t="s">
        <v>39</v>
      </c>
      <c r="C197">
        <v>2</v>
      </c>
      <c r="D197" t="s">
        <v>27</v>
      </c>
      <c r="E197" t="s">
        <v>28</v>
      </c>
      <c r="F197">
        <v>0</v>
      </c>
      <c r="G197">
        <v>0</v>
      </c>
      <c r="H197">
        <v>100.9</v>
      </c>
      <c r="I197">
        <v>91.9</v>
      </c>
      <c r="J197">
        <v>65</v>
      </c>
      <c r="K197">
        <v>4703</v>
      </c>
      <c r="L197">
        <v>7</v>
      </c>
      <c r="M197" t="s">
        <v>29</v>
      </c>
      <c r="N197" t="s">
        <v>34</v>
      </c>
      <c r="O197" t="b">
        <v>0</v>
      </c>
      <c r="P197" t="b">
        <v>0</v>
      </c>
    </row>
    <row r="198" spans="1:16" x14ac:dyDescent="0.3">
      <c r="A198" s="1">
        <v>45854</v>
      </c>
      <c r="B198" t="s">
        <v>54</v>
      </c>
      <c r="C198">
        <v>3</v>
      </c>
      <c r="D198" t="s">
        <v>17</v>
      </c>
      <c r="E198" t="s">
        <v>32</v>
      </c>
      <c r="F198">
        <v>58</v>
      </c>
      <c r="G198">
        <v>456</v>
      </c>
      <c r="H198">
        <v>100.7</v>
      </c>
      <c r="I198">
        <v>91.9</v>
      </c>
      <c r="J198">
        <v>144</v>
      </c>
      <c r="K198">
        <v>8303</v>
      </c>
      <c r="L198">
        <v>8</v>
      </c>
      <c r="M198" t="s">
        <v>19</v>
      </c>
      <c r="N198" t="s">
        <v>20</v>
      </c>
      <c r="O198" t="b">
        <v>0</v>
      </c>
      <c r="P198" t="b">
        <v>0</v>
      </c>
    </row>
    <row r="199" spans="1:16" x14ac:dyDescent="0.3">
      <c r="A199" s="1">
        <v>45855</v>
      </c>
      <c r="B199" t="s">
        <v>55</v>
      </c>
      <c r="C199">
        <v>4</v>
      </c>
      <c r="D199" t="s">
        <v>27</v>
      </c>
      <c r="E199" t="s">
        <v>28</v>
      </c>
      <c r="F199">
        <v>0</v>
      </c>
      <c r="G199">
        <v>0</v>
      </c>
      <c r="H199">
        <v>100.8</v>
      </c>
      <c r="I199">
        <v>91.8</v>
      </c>
      <c r="J199">
        <v>71</v>
      </c>
      <c r="K199">
        <v>5589</v>
      </c>
      <c r="L199">
        <v>7.3</v>
      </c>
      <c r="M199" t="s">
        <v>29</v>
      </c>
      <c r="N199" t="s">
        <v>34</v>
      </c>
      <c r="O199" t="b">
        <v>0</v>
      </c>
      <c r="P199" t="b">
        <v>0</v>
      </c>
    </row>
    <row r="200" spans="1:16" x14ac:dyDescent="0.3">
      <c r="A200" s="1">
        <v>45856</v>
      </c>
      <c r="B200" t="s">
        <v>59</v>
      </c>
      <c r="C200">
        <v>5</v>
      </c>
      <c r="D200" t="s">
        <v>17</v>
      </c>
      <c r="E200" t="s">
        <v>25</v>
      </c>
      <c r="F200">
        <v>44</v>
      </c>
      <c r="G200">
        <v>405</v>
      </c>
      <c r="H200">
        <v>100.3</v>
      </c>
      <c r="I200">
        <v>91.8</v>
      </c>
      <c r="J200">
        <v>147</v>
      </c>
      <c r="K200">
        <v>14993</v>
      </c>
      <c r="L200">
        <v>8.5</v>
      </c>
      <c r="M200" t="s">
        <v>22</v>
      </c>
      <c r="N200" t="s">
        <v>23</v>
      </c>
      <c r="O200" t="b">
        <v>0</v>
      </c>
      <c r="P200" t="b">
        <v>0</v>
      </c>
    </row>
    <row r="201" spans="1:16" x14ac:dyDescent="0.3">
      <c r="A201" s="1">
        <v>45857</v>
      </c>
      <c r="B201" t="s">
        <v>61</v>
      </c>
      <c r="C201">
        <v>6</v>
      </c>
      <c r="D201" t="s">
        <v>40</v>
      </c>
      <c r="E201" t="s">
        <v>43</v>
      </c>
      <c r="F201">
        <v>39</v>
      </c>
      <c r="G201">
        <v>216</v>
      </c>
      <c r="H201">
        <v>99.5</v>
      </c>
      <c r="I201">
        <v>91.8</v>
      </c>
      <c r="J201">
        <v>148</v>
      </c>
      <c r="K201">
        <v>8691</v>
      </c>
      <c r="L201">
        <v>7.4</v>
      </c>
      <c r="M201" t="s">
        <v>19</v>
      </c>
      <c r="N201" t="s">
        <v>46</v>
      </c>
      <c r="O201" t="b">
        <v>0</v>
      </c>
      <c r="P201" t="b">
        <v>0</v>
      </c>
    </row>
    <row r="202" spans="1:16" x14ac:dyDescent="0.3">
      <c r="A202" s="1">
        <v>45858</v>
      </c>
      <c r="B202" t="s">
        <v>63</v>
      </c>
      <c r="C202">
        <v>7</v>
      </c>
      <c r="D202" t="s">
        <v>27</v>
      </c>
      <c r="E202" t="s">
        <v>28</v>
      </c>
      <c r="F202">
        <v>0</v>
      </c>
      <c r="G202">
        <v>0</v>
      </c>
      <c r="H202">
        <v>100</v>
      </c>
      <c r="I202">
        <v>91.7</v>
      </c>
      <c r="J202">
        <v>65</v>
      </c>
      <c r="K202">
        <v>3698</v>
      </c>
      <c r="L202">
        <v>8.4</v>
      </c>
      <c r="M202" t="s">
        <v>29</v>
      </c>
      <c r="N202" t="s">
        <v>34</v>
      </c>
      <c r="O202" t="b">
        <v>0</v>
      </c>
      <c r="P202" t="b">
        <v>0</v>
      </c>
    </row>
    <row r="203" spans="1:16" x14ac:dyDescent="0.3">
      <c r="A203" s="1">
        <v>45859</v>
      </c>
      <c r="B203" t="s">
        <v>16</v>
      </c>
      <c r="C203">
        <v>1</v>
      </c>
      <c r="D203" t="s">
        <v>17</v>
      </c>
      <c r="E203" t="s">
        <v>32</v>
      </c>
      <c r="F203">
        <v>56</v>
      </c>
      <c r="G203">
        <v>773</v>
      </c>
      <c r="H203">
        <v>100.2</v>
      </c>
      <c r="I203">
        <v>91.7</v>
      </c>
      <c r="J203">
        <v>164</v>
      </c>
      <c r="K203">
        <v>8781</v>
      </c>
      <c r="L203">
        <v>8.1</v>
      </c>
      <c r="M203" t="s">
        <v>19</v>
      </c>
      <c r="N203" t="s">
        <v>24</v>
      </c>
      <c r="O203" t="b">
        <v>0</v>
      </c>
      <c r="P203" t="b">
        <v>0</v>
      </c>
    </row>
    <row r="204" spans="1:16" x14ac:dyDescent="0.3">
      <c r="A204" s="1">
        <v>45860</v>
      </c>
      <c r="B204" t="s">
        <v>39</v>
      </c>
      <c r="C204">
        <v>2</v>
      </c>
      <c r="D204" t="s">
        <v>40</v>
      </c>
      <c r="E204" t="s">
        <v>41</v>
      </c>
      <c r="F204">
        <v>30</v>
      </c>
      <c r="G204">
        <v>217</v>
      </c>
      <c r="H204">
        <v>99.5</v>
      </c>
      <c r="I204">
        <v>91.6</v>
      </c>
      <c r="J204">
        <v>132</v>
      </c>
      <c r="K204">
        <v>6043</v>
      </c>
      <c r="L204">
        <v>7.2</v>
      </c>
      <c r="M204" t="s">
        <v>19</v>
      </c>
      <c r="N204" t="s">
        <v>46</v>
      </c>
      <c r="O204" t="b">
        <v>0</v>
      </c>
      <c r="P204" t="b">
        <v>0</v>
      </c>
    </row>
    <row r="205" spans="1:16" x14ac:dyDescent="0.3">
      <c r="A205" s="1">
        <v>45861</v>
      </c>
      <c r="B205" t="s">
        <v>54</v>
      </c>
      <c r="C205">
        <v>3</v>
      </c>
      <c r="D205" t="s">
        <v>17</v>
      </c>
      <c r="E205" t="s">
        <v>32</v>
      </c>
      <c r="F205">
        <v>23</v>
      </c>
      <c r="G205">
        <v>176</v>
      </c>
      <c r="H205">
        <v>100</v>
      </c>
      <c r="I205">
        <v>91.6</v>
      </c>
      <c r="J205">
        <v>160</v>
      </c>
      <c r="K205">
        <v>10445</v>
      </c>
      <c r="L205">
        <v>6.7</v>
      </c>
      <c r="M205" t="s">
        <v>22</v>
      </c>
      <c r="N205" t="s">
        <v>20</v>
      </c>
      <c r="O205" t="b">
        <v>0</v>
      </c>
      <c r="P205" t="b">
        <v>0</v>
      </c>
    </row>
    <row r="206" spans="1:16" x14ac:dyDescent="0.3">
      <c r="A206" s="1">
        <v>45862</v>
      </c>
      <c r="B206" t="s">
        <v>55</v>
      </c>
      <c r="C206">
        <v>4</v>
      </c>
      <c r="D206" t="s">
        <v>36</v>
      </c>
      <c r="E206" t="s">
        <v>56</v>
      </c>
      <c r="F206">
        <v>41</v>
      </c>
      <c r="G206">
        <v>109</v>
      </c>
      <c r="H206">
        <v>99.6</v>
      </c>
      <c r="I206">
        <v>91.6</v>
      </c>
      <c r="J206">
        <v>94</v>
      </c>
      <c r="K206">
        <v>5900</v>
      </c>
      <c r="L206">
        <v>8.1999999999999993</v>
      </c>
      <c r="M206" t="s">
        <v>29</v>
      </c>
      <c r="N206" t="s">
        <v>58</v>
      </c>
      <c r="O206" t="b">
        <v>0</v>
      </c>
      <c r="P206" t="b">
        <v>0</v>
      </c>
    </row>
    <row r="207" spans="1:16" x14ac:dyDescent="0.3">
      <c r="A207" s="1">
        <v>45863</v>
      </c>
      <c r="B207" t="s">
        <v>59</v>
      </c>
      <c r="C207">
        <v>5</v>
      </c>
      <c r="D207" t="s">
        <v>17</v>
      </c>
      <c r="E207" t="s">
        <v>25</v>
      </c>
      <c r="F207">
        <v>37</v>
      </c>
      <c r="G207">
        <v>348</v>
      </c>
      <c r="H207">
        <v>99.2</v>
      </c>
      <c r="I207">
        <v>91.5</v>
      </c>
      <c r="J207">
        <v>158</v>
      </c>
      <c r="K207">
        <v>11274</v>
      </c>
      <c r="L207">
        <v>7.9</v>
      </c>
      <c r="M207" t="s">
        <v>22</v>
      </c>
      <c r="N207" t="s">
        <v>20</v>
      </c>
      <c r="O207" t="b">
        <v>0</v>
      </c>
      <c r="P207" t="b">
        <v>0</v>
      </c>
    </row>
    <row r="208" spans="1:16" x14ac:dyDescent="0.3">
      <c r="A208" s="1">
        <v>45864</v>
      </c>
      <c r="B208" t="s">
        <v>61</v>
      </c>
      <c r="C208">
        <v>6</v>
      </c>
      <c r="D208" t="s">
        <v>40</v>
      </c>
      <c r="E208" t="s">
        <v>41</v>
      </c>
      <c r="F208">
        <v>33</v>
      </c>
      <c r="G208">
        <v>252</v>
      </c>
      <c r="H208">
        <v>99.8</v>
      </c>
      <c r="I208">
        <v>91.5</v>
      </c>
      <c r="J208">
        <v>136</v>
      </c>
      <c r="K208">
        <v>5226</v>
      </c>
      <c r="L208">
        <v>7.1</v>
      </c>
      <c r="M208" t="s">
        <v>22</v>
      </c>
      <c r="N208" t="s">
        <v>44</v>
      </c>
      <c r="O208" t="b">
        <v>0</v>
      </c>
      <c r="P208" t="b">
        <v>0</v>
      </c>
    </row>
    <row r="209" spans="1:16" x14ac:dyDescent="0.3">
      <c r="A209" s="1">
        <v>45865</v>
      </c>
      <c r="B209" t="s">
        <v>63</v>
      </c>
      <c r="C209">
        <v>7</v>
      </c>
      <c r="D209" t="s">
        <v>27</v>
      </c>
      <c r="E209" t="s">
        <v>28</v>
      </c>
      <c r="F209">
        <v>0</v>
      </c>
      <c r="G209">
        <v>0</v>
      </c>
      <c r="H209">
        <v>99.1</v>
      </c>
      <c r="I209">
        <v>91.5</v>
      </c>
      <c r="J209">
        <v>69</v>
      </c>
      <c r="K209">
        <v>5270</v>
      </c>
      <c r="L209">
        <v>8.5</v>
      </c>
      <c r="M209" t="s">
        <v>29</v>
      </c>
      <c r="N209" t="s">
        <v>47</v>
      </c>
      <c r="O209" t="b">
        <v>0</v>
      </c>
      <c r="P209" t="b">
        <v>0</v>
      </c>
    </row>
    <row r="210" spans="1:16" x14ac:dyDescent="0.3">
      <c r="A210" s="1">
        <v>45866</v>
      </c>
      <c r="B210" t="s">
        <v>16</v>
      </c>
      <c r="C210">
        <v>1</v>
      </c>
      <c r="D210" t="s">
        <v>17</v>
      </c>
      <c r="E210" t="s">
        <v>32</v>
      </c>
      <c r="F210">
        <v>74</v>
      </c>
      <c r="G210">
        <v>630</v>
      </c>
      <c r="H210">
        <v>99.6</v>
      </c>
      <c r="I210">
        <v>91.4</v>
      </c>
      <c r="J210">
        <v>169</v>
      </c>
      <c r="K210">
        <v>10756</v>
      </c>
      <c r="L210">
        <v>7.7</v>
      </c>
      <c r="M210" t="s">
        <v>22</v>
      </c>
      <c r="N210" t="s">
        <v>35</v>
      </c>
      <c r="O210" t="b">
        <v>0</v>
      </c>
      <c r="P210" t="b">
        <v>0</v>
      </c>
    </row>
    <row r="211" spans="1:16" x14ac:dyDescent="0.3">
      <c r="A211" s="1">
        <v>45867</v>
      </c>
      <c r="B211" t="s">
        <v>39</v>
      </c>
      <c r="C211">
        <v>2</v>
      </c>
      <c r="D211" t="s">
        <v>49</v>
      </c>
      <c r="E211" t="s">
        <v>52</v>
      </c>
      <c r="F211">
        <v>82</v>
      </c>
      <c r="G211">
        <v>1079</v>
      </c>
      <c r="H211">
        <v>99</v>
      </c>
      <c r="I211">
        <v>91.4</v>
      </c>
      <c r="J211">
        <v>159</v>
      </c>
      <c r="K211">
        <v>14111</v>
      </c>
      <c r="L211">
        <v>8.4</v>
      </c>
      <c r="M211" t="s">
        <v>22</v>
      </c>
      <c r="N211" t="s">
        <v>53</v>
      </c>
      <c r="O211" t="b">
        <v>0</v>
      </c>
      <c r="P211" t="b">
        <v>0</v>
      </c>
    </row>
    <row r="212" spans="1:16" x14ac:dyDescent="0.3">
      <c r="A212" s="1">
        <v>45868</v>
      </c>
      <c r="B212" t="s">
        <v>54</v>
      </c>
      <c r="C212">
        <v>3</v>
      </c>
      <c r="D212" t="s">
        <v>17</v>
      </c>
      <c r="E212" t="s">
        <v>32</v>
      </c>
      <c r="F212">
        <v>70</v>
      </c>
      <c r="G212">
        <v>1154</v>
      </c>
      <c r="H212">
        <v>100.2</v>
      </c>
      <c r="I212">
        <v>91.4</v>
      </c>
      <c r="J212">
        <v>145</v>
      </c>
      <c r="K212">
        <v>11900</v>
      </c>
      <c r="L212">
        <v>6</v>
      </c>
      <c r="M212" t="s">
        <v>19</v>
      </c>
      <c r="N212" t="s">
        <v>23</v>
      </c>
      <c r="O212" t="b">
        <v>0</v>
      </c>
      <c r="P212" t="b">
        <v>0</v>
      </c>
    </row>
    <row r="213" spans="1:16" x14ac:dyDescent="0.3">
      <c r="A213" s="1">
        <v>45869</v>
      </c>
      <c r="B213" t="s">
        <v>55</v>
      </c>
      <c r="C213">
        <v>4</v>
      </c>
      <c r="D213" t="s">
        <v>36</v>
      </c>
      <c r="E213" t="s">
        <v>56</v>
      </c>
      <c r="F213">
        <v>53</v>
      </c>
      <c r="G213">
        <v>216</v>
      </c>
      <c r="H213">
        <v>101</v>
      </c>
      <c r="I213">
        <v>91.3</v>
      </c>
      <c r="J213">
        <v>98</v>
      </c>
      <c r="K213">
        <v>5512</v>
      </c>
      <c r="L213">
        <v>8.4</v>
      </c>
      <c r="M213" t="s">
        <v>29</v>
      </c>
      <c r="N213" t="s">
        <v>58</v>
      </c>
      <c r="O213" t="b">
        <v>0</v>
      </c>
      <c r="P213" t="b">
        <v>0</v>
      </c>
    </row>
    <row r="214" spans="1:16" x14ac:dyDescent="0.3">
      <c r="A214" s="1">
        <v>45870</v>
      </c>
      <c r="B214" t="s">
        <v>59</v>
      </c>
      <c r="C214">
        <v>5</v>
      </c>
      <c r="D214" t="s">
        <v>17</v>
      </c>
      <c r="E214" t="s">
        <v>25</v>
      </c>
      <c r="F214">
        <v>59</v>
      </c>
      <c r="G214">
        <v>958</v>
      </c>
      <c r="H214">
        <v>101.2</v>
      </c>
      <c r="I214">
        <v>91.3</v>
      </c>
      <c r="J214">
        <v>140</v>
      </c>
      <c r="K214">
        <v>8784</v>
      </c>
      <c r="L214">
        <v>8.1</v>
      </c>
      <c r="M214" t="s">
        <v>22</v>
      </c>
      <c r="N214" t="s">
        <v>24</v>
      </c>
      <c r="O214" t="b">
        <v>0</v>
      </c>
      <c r="P214" t="b">
        <v>0</v>
      </c>
    </row>
    <row r="215" spans="1:16" x14ac:dyDescent="0.3">
      <c r="A215" s="1">
        <v>45871</v>
      </c>
      <c r="B215" t="s">
        <v>61</v>
      </c>
      <c r="C215">
        <v>6</v>
      </c>
      <c r="D215" t="s">
        <v>40</v>
      </c>
      <c r="E215" t="s">
        <v>41</v>
      </c>
      <c r="F215">
        <v>57</v>
      </c>
      <c r="G215">
        <v>450</v>
      </c>
      <c r="H215">
        <v>100.6</v>
      </c>
      <c r="I215">
        <v>91.3</v>
      </c>
      <c r="J215">
        <v>131</v>
      </c>
      <c r="K215">
        <v>7391</v>
      </c>
      <c r="L215">
        <v>7.7</v>
      </c>
      <c r="M215" t="s">
        <v>19</v>
      </c>
      <c r="N215" t="s">
        <v>44</v>
      </c>
      <c r="O215" t="b">
        <v>0</v>
      </c>
      <c r="P215" t="b">
        <v>0</v>
      </c>
    </row>
    <row r="216" spans="1:16" x14ac:dyDescent="0.3">
      <c r="A216" s="1">
        <v>45872</v>
      </c>
      <c r="B216" t="s">
        <v>63</v>
      </c>
      <c r="C216">
        <v>7</v>
      </c>
      <c r="D216" t="s">
        <v>27</v>
      </c>
      <c r="E216" t="s">
        <v>28</v>
      </c>
      <c r="F216">
        <v>0</v>
      </c>
      <c r="G216">
        <v>0</v>
      </c>
      <c r="H216">
        <v>101.2</v>
      </c>
      <c r="I216">
        <v>91.2</v>
      </c>
      <c r="J216">
        <v>70</v>
      </c>
      <c r="K216">
        <v>3711</v>
      </c>
      <c r="L216">
        <v>8.3000000000000007</v>
      </c>
      <c r="M216" t="s">
        <v>29</v>
      </c>
      <c r="N216" t="s">
        <v>30</v>
      </c>
      <c r="O216" t="b">
        <v>0</v>
      </c>
      <c r="P216" t="b">
        <v>0</v>
      </c>
    </row>
    <row r="217" spans="1:16" x14ac:dyDescent="0.3">
      <c r="A217" s="1">
        <v>45873</v>
      </c>
      <c r="B217" t="s">
        <v>16</v>
      </c>
      <c r="C217">
        <v>1</v>
      </c>
      <c r="D217" t="s">
        <v>17</v>
      </c>
      <c r="E217" t="s">
        <v>21</v>
      </c>
      <c r="F217">
        <v>61</v>
      </c>
      <c r="G217">
        <v>772</v>
      </c>
      <c r="H217">
        <v>100</v>
      </c>
      <c r="I217">
        <v>91.2</v>
      </c>
      <c r="J217">
        <v>149</v>
      </c>
      <c r="K217">
        <v>14344</v>
      </c>
      <c r="L217">
        <v>8.1</v>
      </c>
      <c r="M217" t="s">
        <v>19</v>
      </c>
      <c r="N217" t="s">
        <v>23</v>
      </c>
      <c r="O217" t="b">
        <v>0</v>
      </c>
      <c r="P217" t="b">
        <v>0</v>
      </c>
    </row>
    <row r="218" spans="1:16" x14ac:dyDescent="0.3">
      <c r="A218" s="1">
        <v>45874</v>
      </c>
      <c r="B218" t="s">
        <v>39</v>
      </c>
      <c r="C218">
        <v>2</v>
      </c>
      <c r="D218" t="s">
        <v>40</v>
      </c>
      <c r="E218" t="s">
        <v>41</v>
      </c>
      <c r="F218">
        <v>31</v>
      </c>
      <c r="G218">
        <v>174</v>
      </c>
      <c r="H218">
        <v>99.6</v>
      </c>
      <c r="I218">
        <v>91.2</v>
      </c>
      <c r="J218">
        <v>131</v>
      </c>
      <c r="K218">
        <v>7128</v>
      </c>
      <c r="L218">
        <v>7.3</v>
      </c>
      <c r="M218" t="s">
        <v>19</v>
      </c>
      <c r="N218" t="s">
        <v>46</v>
      </c>
      <c r="O218" t="b">
        <v>0</v>
      </c>
      <c r="P218" t="b">
        <v>0</v>
      </c>
    </row>
    <row r="219" spans="1:16" x14ac:dyDescent="0.3">
      <c r="A219" s="1">
        <v>45875</v>
      </c>
      <c r="B219" t="s">
        <v>54</v>
      </c>
      <c r="C219">
        <v>3</v>
      </c>
      <c r="D219" t="s">
        <v>17</v>
      </c>
      <c r="E219" t="s">
        <v>32</v>
      </c>
      <c r="F219">
        <v>62</v>
      </c>
      <c r="G219">
        <v>810</v>
      </c>
      <c r="H219">
        <v>101.6</v>
      </c>
      <c r="I219">
        <v>91.1</v>
      </c>
      <c r="J219">
        <v>149</v>
      </c>
      <c r="K219">
        <v>10154</v>
      </c>
      <c r="L219">
        <v>8.1999999999999993</v>
      </c>
      <c r="M219" t="s">
        <v>22</v>
      </c>
      <c r="N219" t="s">
        <v>35</v>
      </c>
      <c r="O219" t="b">
        <v>0</v>
      </c>
      <c r="P219" t="b">
        <v>0</v>
      </c>
    </row>
    <row r="220" spans="1:16" x14ac:dyDescent="0.3">
      <c r="A220" s="1">
        <v>45876</v>
      </c>
      <c r="B220" t="s">
        <v>55</v>
      </c>
      <c r="C220">
        <v>4</v>
      </c>
      <c r="D220" t="s">
        <v>36</v>
      </c>
      <c r="E220" t="s">
        <v>56</v>
      </c>
      <c r="F220">
        <v>74</v>
      </c>
      <c r="G220">
        <v>160</v>
      </c>
      <c r="H220">
        <v>101.1</v>
      </c>
      <c r="I220">
        <v>91.1</v>
      </c>
      <c r="J220">
        <v>87</v>
      </c>
      <c r="K220">
        <v>6105</v>
      </c>
      <c r="L220">
        <v>8</v>
      </c>
      <c r="M220" t="s">
        <v>29</v>
      </c>
      <c r="N220" t="s">
        <v>38</v>
      </c>
      <c r="O220" t="b">
        <v>0</v>
      </c>
      <c r="P220" t="b">
        <v>0</v>
      </c>
    </row>
    <row r="221" spans="1:16" x14ac:dyDescent="0.3">
      <c r="A221" s="1">
        <v>45877</v>
      </c>
      <c r="B221" t="s">
        <v>59</v>
      </c>
      <c r="C221">
        <v>5</v>
      </c>
      <c r="D221" t="s">
        <v>17</v>
      </c>
      <c r="E221" t="s">
        <v>18</v>
      </c>
      <c r="F221">
        <v>49</v>
      </c>
      <c r="G221">
        <v>461</v>
      </c>
      <c r="H221">
        <v>99.2</v>
      </c>
      <c r="I221">
        <v>91.1</v>
      </c>
      <c r="J221">
        <v>163</v>
      </c>
      <c r="K221">
        <v>14430</v>
      </c>
      <c r="L221">
        <v>7.1</v>
      </c>
      <c r="M221" t="s">
        <v>22</v>
      </c>
      <c r="N221" t="s">
        <v>23</v>
      </c>
      <c r="O221" t="b">
        <v>0</v>
      </c>
      <c r="P221" t="b">
        <v>0</v>
      </c>
    </row>
    <row r="222" spans="1:16" x14ac:dyDescent="0.3">
      <c r="A222" s="1">
        <v>45878</v>
      </c>
      <c r="B222" t="s">
        <v>61</v>
      </c>
      <c r="C222">
        <v>6</v>
      </c>
      <c r="D222" t="s">
        <v>40</v>
      </c>
      <c r="E222" t="s">
        <v>43</v>
      </c>
      <c r="F222">
        <v>82</v>
      </c>
      <c r="G222">
        <v>696</v>
      </c>
      <c r="H222">
        <v>98.8</v>
      </c>
      <c r="I222">
        <v>91</v>
      </c>
      <c r="J222">
        <v>142</v>
      </c>
      <c r="K222">
        <v>6049</v>
      </c>
      <c r="L222">
        <v>8.6999999999999993</v>
      </c>
      <c r="M222" t="s">
        <v>22</v>
      </c>
      <c r="N222" t="s">
        <v>44</v>
      </c>
      <c r="O222" t="b">
        <v>0</v>
      </c>
      <c r="P222" t="b">
        <v>0</v>
      </c>
    </row>
    <row r="223" spans="1:16" x14ac:dyDescent="0.3">
      <c r="A223" s="1">
        <v>45879</v>
      </c>
      <c r="B223" t="s">
        <v>63</v>
      </c>
      <c r="C223">
        <v>7</v>
      </c>
      <c r="D223" t="s">
        <v>27</v>
      </c>
      <c r="E223" t="s">
        <v>28</v>
      </c>
      <c r="F223">
        <v>0</v>
      </c>
      <c r="G223">
        <v>0</v>
      </c>
      <c r="H223">
        <v>98.2</v>
      </c>
      <c r="I223">
        <v>91</v>
      </c>
      <c r="J223">
        <v>68</v>
      </c>
      <c r="K223">
        <v>5384</v>
      </c>
      <c r="L223">
        <v>8</v>
      </c>
      <c r="M223" t="s">
        <v>29</v>
      </c>
      <c r="N223" t="s">
        <v>34</v>
      </c>
      <c r="O223" t="b">
        <v>0</v>
      </c>
      <c r="P223" t="b">
        <v>0</v>
      </c>
    </row>
    <row r="224" spans="1:16" x14ac:dyDescent="0.3">
      <c r="A224" s="1">
        <v>45880</v>
      </c>
      <c r="B224" t="s">
        <v>16</v>
      </c>
      <c r="C224">
        <v>1</v>
      </c>
      <c r="D224" t="s">
        <v>17</v>
      </c>
      <c r="E224" t="s">
        <v>25</v>
      </c>
      <c r="F224">
        <v>46</v>
      </c>
      <c r="G224">
        <v>586</v>
      </c>
      <c r="H224">
        <v>98.8</v>
      </c>
      <c r="I224">
        <v>91</v>
      </c>
      <c r="J224">
        <v>149</v>
      </c>
      <c r="K224">
        <v>13039</v>
      </c>
      <c r="L224">
        <v>7.8</v>
      </c>
      <c r="M224" t="s">
        <v>19</v>
      </c>
      <c r="N224" t="s">
        <v>35</v>
      </c>
      <c r="O224" t="b">
        <v>0</v>
      </c>
      <c r="P224" t="b">
        <v>0</v>
      </c>
    </row>
    <row r="225" spans="1:16" x14ac:dyDescent="0.3">
      <c r="A225" s="1">
        <v>45881</v>
      </c>
      <c r="B225" t="s">
        <v>39</v>
      </c>
      <c r="C225">
        <v>2</v>
      </c>
      <c r="D225" t="s">
        <v>40</v>
      </c>
      <c r="E225" t="s">
        <v>43</v>
      </c>
      <c r="F225">
        <v>43</v>
      </c>
      <c r="G225">
        <v>407</v>
      </c>
      <c r="H225">
        <v>99.9</v>
      </c>
      <c r="I225">
        <v>91</v>
      </c>
      <c r="J225">
        <v>132</v>
      </c>
      <c r="K225">
        <v>5493</v>
      </c>
      <c r="L225">
        <v>7.3</v>
      </c>
      <c r="M225" t="s">
        <v>22</v>
      </c>
      <c r="N225" t="s">
        <v>48</v>
      </c>
      <c r="O225" t="b">
        <v>0</v>
      </c>
      <c r="P225" t="b">
        <v>0</v>
      </c>
    </row>
    <row r="226" spans="1:16" x14ac:dyDescent="0.3">
      <c r="A226" s="1">
        <v>45882</v>
      </c>
      <c r="B226" t="s">
        <v>54</v>
      </c>
      <c r="C226">
        <v>3</v>
      </c>
      <c r="D226" t="s">
        <v>17</v>
      </c>
      <c r="E226" t="s">
        <v>18</v>
      </c>
      <c r="F226">
        <v>59</v>
      </c>
      <c r="G226">
        <v>641</v>
      </c>
      <c r="H226">
        <v>100.6</v>
      </c>
      <c r="I226">
        <v>90.9</v>
      </c>
      <c r="J226">
        <v>169</v>
      </c>
      <c r="K226">
        <v>8082</v>
      </c>
      <c r="L226">
        <v>6.7</v>
      </c>
      <c r="M226" t="s">
        <v>22</v>
      </c>
      <c r="N226" t="s">
        <v>23</v>
      </c>
      <c r="O226" t="b">
        <v>0</v>
      </c>
      <c r="P226" t="b">
        <v>0</v>
      </c>
    </row>
    <row r="227" spans="1:16" x14ac:dyDescent="0.3">
      <c r="A227" s="1">
        <v>45883</v>
      </c>
      <c r="B227" t="s">
        <v>55</v>
      </c>
      <c r="C227">
        <v>4</v>
      </c>
      <c r="D227" t="s">
        <v>36</v>
      </c>
      <c r="E227" t="s">
        <v>56</v>
      </c>
      <c r="F227">
        <v>49</v>
      </c>
      <c r="G227">
        <v>209</v>
      </c>
      <c r="H227">
        <v>100.1</v>
      </c>
      <c r="I227">
        <v>90.9</v>
      </c>
      <c r="J227">
        <v>94</v>
      </c>
      <c r="K227">
        <v>4166</v>
      </c>
      <c r="L227">
        <v>8</v>
      </c>
      <c r="M227" t="s">
        <v>29</v>
      </c>
      <c r="N227" t="s">
        <v>38</v>
      </c>
      <c r="O227" t="b">
        <v>0</v>
      </c>
      <c r="P227" t="b">
        <v>0</v>
      </c>
    </row>
    <row r="228" spans="1:16" x14ac:dyDescent="0.3">
      <c r="A228" s="1">
        <v>45884</v>
      </c>
      <c r="B228" t="s">
        <v>59</v>
      </c>
      <c r="C228">
        <v>5</v>
      </c>
      <c r="D228" t="s">
        <v>17</v>
      </c>
      <c r="E228" t="s">
        <v>21</v>
      </c>
      <c r="F228">
        <v>46</v>
      </c>
      <c r="G228">
        <v>602</v>
      </c>
      <c r="H228">
        <v>100.1</v>
      </c>
      <c r="I228">
        <v>90.9</v>
      </c>
      <c r="J228">
        <v>148</v>
      </c>
      <c r="K228">
        <v>11249</v>
      </c>
      <c r="L228">
        <v>6</v>
      </c>
      <c r="M228" t="s">
        <v>19</v>
      </c>
      <c r="N228" t="s">
        <v>35</v>
      </c>
      <c r="O228" t="b">
        <v>0</v>
      </c>
      <c r="P228" t="b">
        <v>0</v>
      </c>
    </row>
    <row r="229" spans="1:16" x14ac:dyDescent="0.3">
      <c r="A229" s="1">
        <v>45885</v>
      </c>
      <c r="B229" t="s">
        <v>61</v>
      </c>
      <c r="C229">
        <v>6</v>
      </c>
      <c r="D229" t="s">
        <v>40</v>
      </c>
      <c r="E229" t="s">
        <v>41</v>
      </c>
      <c r="F229">
        <v>46</v>
      </c>
      <c r="G229">
        <v>487</v>
      </c>
      <c r="H229">
        <v>97.9</v>
      </c>
      <c r="I229">
        <v>90.8</v>
      </c>
      <c r="J229">
        <v>151</v>
      </c>
      <c r="K229">
        <v>8174</v>
      </c>
      <c r="L229">
        <v>6.7</v>
      </c>
      <c r="M229" t="s">
        <v>19</v>
      </c>
      <c r="N229" t="s">
        <v>48</v>
      </c>
      <c r="O229" t="b">
        <v>0</v>
      </c>
      <c r="P229" t="b">
        <v>0</v>
      </c>
    </row>
    <row r="230" spans="1:16" x14ac:dyDescent="0.3">
      <c r="A230" s="1">
        <v>45886</v>
      </c>
      <c r="B230" t="s">
        <v>63</v>
      </c>
      <c r="C230">
        <v>7</v>
      </c>
      <c r="D230" t="s">
        <v>27</v>
      </c>
      <c r="E230" t="s">
        <v>28</v>
      </c>
      <c r="F230">
        <v>0</v>
      </c>
      <c r="G230">
        <v>0</v>
      </c>
      <c r="H230">
        <v>98.9</v>
      </c>
      <c r="I230">
        <v>90.8</v>
      </c>
      <c r="J230">
        <v>73</v>
      </c>
      <c r="K230">
        <v>4713</v>
      </c>
      <c r="L230">
        <v>6</v>
      </c>
      <c r="M230" t="s">
        <v>29</v>
      </c>
      <c r="N230" t="s">
        <v>30</v>
      </c>
      <c r="O230" t="b">
        <v>0</v>
      </c>
      <c r="P230" t="b">
        <v>0</v>
      </c>
    </row>
    <row r="231" spans="1:16" x14ac:dyDescent="0.3">
      <c r="A231" s="1">
        <v>45887</v>
      </c>
      <c r="B231" t="s">
        <v>16</v>
      </c>
      <c r="C231">
        <v>1</v>
      </c>
      <c r="D231" t="s">
        <v>17</v>
      </c>
      <c r="E231" t="s">
        <v>21</v>
      </c>
      <c r="F231">
        <v>68</v>
      </c>
      <c r="G231">
        <v>897</v>
      </c>
      <c r="H231">
        <v>97.2</v>
      </c>
      <c r="I231">
        <v>90.8</v>
      </c>
      <c r="J231">
        <v>153</v>
      </c>
      <c r="K231">
        <v>13631</v>
      </c>
      <c r="L231">
        <v>7.8</v>
      </c>
      <c r="M231" t="s">
        <v>22</v>
      </c>
      <c r="N231" t="s">
        <v>24</v>
      </c>
      <c r="O231" t="b">
        <v>0</v>
      </c>
      <c r="P231" t="b">
        <v>0</v>
      </c>
    </row>
    <row r="232" spans="1:16" x14ac:dyDescent="0.3">
      <c r="A232" s="1">
        <v>45888</v>
      </c>
      <c r="B232" t="s">
        <v>39</v>
      </c>
      <c r="C232">
        <v>2</v>
      </c>
      <c r="D232" t="s">
        <v>40</v>
      </c>
      <c r="E232" t="s">
        <v>43</v>
      </c>
      <c r="F232">
        <v>45</v>
      </c>
      <c r="G232">
        <v>381</v>
      </c>
      <c r="H232">
        <v>99.5</v>
      </c>
      <c r="I232">
        <v>90.8</v>
      </c>
      <c r="J232">
        <v>145</v>
      </c>
      <c r="K232">
        <v>8982</v>
      </c>
      <c r="L232">
        <v>6.7</v>
      </c>
      <c r="M232" t="s">
        <v>19</v>
      </c>
      <c r="N232" t="s">
        <v>46</v>
      </c>
      <c r="O232" t="b">
        <v>0</v>
      </c>
      <c r="P232" t="b">
        <v>0</v>
      </c>
    </row>
    <row r="233" spans="1:16" x14ac:dyDescent="0.3">
      <c r="A233" s="1">
        <v>45889</v>
      </c>
      <c r="B233" t="s">
        <v>54</v>
      </c>
      <c r="C233">
        <v>3</v>
      </c>
      <c r="D233" t="s">
        <v>17</v>
      </c>
      <c r="E233" t="s">
        <v>32</v>
      </c>
      <c r="F233">
        <v>27</v>
      </c>
      <c r="G233">
        <v>398</v>
      </c>
      <c r="H233">
        <v>99.5</v>
      </c>
      <c r="I233">
        <v>90.7</v>
      </c>
      <c r="J233">
        <v>153</v>
      </c>
      <c r="K233">
        <v>13509</v>
      </c>
      <c r="L233">
        <v>7.8</v>
      </c>
      <c r="M233" t="s">
        <v>22</v>
      </c>
      <c r="N233" t="s">
        <v>31</v>
      </c>
      <c r="O233" t="b">
        <v>0</v>
      </c>
      <c r="P233" t="b">
        <v>0</v>
      </c>
    </row>
    <row r="234" spans="1:16" x14ac:dyDescent="0.3">
      <c r="A234" s="1">
        <v>45890</v>
      </c>
      <c r="B234" t="s">
        <v>55</v>
      </c>
      <c r="C234">
        <v>4</v>
      </c>
      <c r="D234" t="s">
        <v>36</v>
      </c>
      <c r="E234" t="s">
        <v>56</v>
      </c>
      <c r="F234">
        <v>22</v>
      </c>
      <c r="G234">
        <v>70</v>
      </c>
      <c r="H234">
        <v>99.3</v>
      </c>
      <c r="I234">
        <v>90.7</v>
      </c>
      <c r="J234">
        <v>88</v>
      </c>
      <c r="K234">
        <v>5933</v>
      </c>
      <c r="L234">
        <v>7.1</v>
      </c>
      <c r="M234" t="s">
        <v>29</v>
      </c>
      <c r="N234" t="s">
        <v>57</v>
      </c>
      <c r="O234" t="b">
        <v>0</v>
      </c>
      <c r="P234" t="b">
        <v>0</v>
      </c>
    </row>
    <row r="235" spans="1:16" x14ac:dyDescent="0.3">
      <c r="A235" s="1">
        <v>45891</v>
      </c>
      <c r="B235" t="s">
        <v>59</v>
      </c>
      <c r="C235">
        <v>5</v>
      </c>
      <c r="D235" t="s">
        <v>36</v>
      </c>
      <c r="E235" t="s">
        <v>56</v>
      </c>
      <c r="F235">
        <v>53</v>
      </c>
      <c r="G235">
        <v>194</v>
      </c>
      <c r="H235">
        <v>99</v>
      </c>
      <c r="I235">
        <v>90.7</v>
      </c>
      <c r="J235">
        <v>98</v>
      </c>
      <c r="K235">
        <v>5969</v>
      </c>
      <c r="L235">
        <v>8.8000000000000007</v>
      </c>
      <c r="M235" t="s">
        <v>29</v>
      </c>
      <c r="N235" t="s">
        <v>57</v>
      </c>
      <c r="O235" t="b">
        <v>0</v>
      </c>
      <c r="P235" t="b">
        <v>0</v>
      </c>
    </row>
    <row r="236" spans="1:16" x14ac:dyDescent="0.3">
      <c r="A236" s="1">
        <v>45892</v>
      </c>
      <c r="B236" t="s">
        <v>61</v>
      </c>
      <c r="C236">
        <v>6</v>
      </c>
      <c r="D236" t="s">
        <v>40</v>
      </c>
      <c r="E236" t="s">
        <v>43</v>
      </c>
      <c r="F236">
        <v>57</v>
      </c>
      <c r="G236">
        <v>496</v>
      </c>
      <c r="H236">
        <v>97.3</v>
      </c>
      <c r="I236">
        <v>90.7</v>
      </c>
      <c r="J236">
        <v>155</v>
      </c>
      <c r="K236">
        <v>7715</v>
      </c>
      <c r="L236">
        <v>6</v>
      </c>
      <c r="M236" t="s">
        <v>22</v>
      </c>
      <c r="N236" t="s">
        <v>62</v>
      </c>
      <c r="O236" t="b">
        <v>0</v>
      </c>
      <c r="P236" t="b">
        <v>0</v>
      </c>
    </row>
    <row r="237" spans="1:16" x14ac:dyDescent="0.3">
      <c r="A237" s="1">
        <v>45893</v>
      </c>
      <c r="B237" t="s">
        <v>63</v>
      </c>
      <c r="C237">
        <v>7</v>
      </c>
      <c r="D237" t="s">
        <v>27</v>
      </c>
      <c r="E237" t="s">
        <v>28</v>
      </c>
      <c r="F237">
        <v>0</v>
      </c>
      <c r="G237">
        <v>0</v>
      </c>
      <c r="H237">
        <v>98.8</v>
      </c>
      <c r="I237">
        <v>90.6</v>
      </c>
      <c r="J237">
        <v>65</v>
      </c>
      <c r="K237">
        <v>4345</v>
      </c>
      <c r="L237">
        <v>7.4</v>
      </c>
      <c r="M237" t="s">
        <v>29</v>
      </c>
      <c r="N237" t="s">
        <v>30</v>
      </c>
      <c r="O237" t="b">
        <v>0</v>
      </c>
      <c r="P237" t="b">
        <v>0</v>
      </c>
    </row>
    <row r="238" spans="1:16" x14ac:dyDescent="0.3">
      <c r="A238" s="1">
        <v>45894</v>
      </c>
      <c r="B238" t="s">
        <v>16</v>
      </c>
      <c r="C238">
        <v>1</v>
      </c>
      <c r="D238" t="s">
        <v>17</v>
      </c>
      <c r="E238" t="s">
        <v>18</v>
      </c>
      <c r="F238">
        <v>42</v>
      </c>
      <c r="G238">
        <v>465</v>
      </c>
      <c r="H238">
        <v>97.4</v>
      </c>
      <c r="I238">
        <v>90.6</v>
      </c>
      <c r="J238">
        <v>153</v>
      </c>
      <c r="K238">
        <v>14727</v>
      </c>
      <c r="L238">
        <v>7.2</v>
      </c>
      <c r="M238" t="s">
        <v>19</v>
      </c>
      <c r="N238" t="s">
        <v>23</v>
      </c>
      <c r="O238" t="b">
        <v>0</v>
      </c>
      <c r="P238" t="b">
        <v>0</v>
      </c>
    </row>
    <row r="239" spans="1:16" x14ac:dyDescent="0.3">
      <c r="A239" s="1">
        <v>45895</v>
      </c>
      <c r="B239" t="s">
        <v>39</v>
      </c>
      <c r="C239">
        <v>2</v>
      </c>
      <c r="D239" t="s">
        <v>40</v>
      </c>
      <c r="E239" t="s">
        <v>43</v>
      </c>
      <c r="F239">
        <v>100</v>
      </c>
      <c r="G239">
        <v>749</v>
      </c>
      <c r="H239">
        <v>99.1</v>
      </c>
      <c r="I239">
        <v>90.6</v>
      </c>
      <c r="J239">
        <v>141</v>
      </c>
      <c r="K239">
        <v>5144</v>
      </c>
      <c r="L239">
        <v>9.8000000000000007</v>
      </c>
      <c r="M239" t="s">
        <v>22</v>
      </c>
      <c r="N239" t="s">
        <v>44</v>
      </c>
      <c r="O239" t="b">
        <v>0</v>
      </c>
      <c r="P239" t="b">
        <v>0</v>
      </c>
    </row>
    <row r="240" spans="1:16" x14ac:dyDescent="0.3">
      <c r="A240" s="1">
        <v>45896</v>
      </c>
      <c r="B240" t="s">
        <v>54</v>
      </c>
      <c r="C240">
        <v>3</v>
      </c>
      <c r="D240" t="s">
        <v>17</v>
      </c>
      <c r="E240" t="s">
        <v>21</v>
      </c>
      <c r="F240">
        <v>47</v>
      </c>
      <c r="G240">
        <v>384</v>
      </c>
      <c r="H240">
        <v>99.9</v>
      </c>
      <c r="I240">
        <v>90.6</v>
      </c>
      <c r="J240">
        <v>142</v>
      </c>
      <c r="K240">
        <v>9690</v>
      </c>
      <c r="L240">
        <v>9.1</v>
      </c>
      <c r="M240" t="s">
        <v>22</v>
      </c>
      <c r="N240" t="s">
        <v>31</v>
      </c>
      <c r="O240" t="b">
        <v>0</v>
      </c>
      <c r="P240" t="b">
        <v>0</v>
      </c>
    </row>
    <row r="241" spans="1:16" x14ac:dyDescent="0.3">
      <c r="A241" s="1">
        <v>45897</v>
      </c>
      <c r="B241" t="s">
        <v>55</v>
      </c>
      <c r="C241">
        <v>4</v>
      </c>
      <c r="D241" t="s">
        <v>36</v>
      </c>
      <c r="E241" t="s">
        <v>37</v>
      </c>
      <c r="F241">
        <v>47</v>
      </c>
      <c r="G241">
        <v>154</v>
      </c>
      <c r="H241">
        <v>99.3</v>
      </c>
      <c r="I241">
        <v>90.5</v>
      </c>
      <c r="J241">
        <v>86</v>
      </c>
      <c r="K241">
        <v>6295</v>
      </c>
      <c r="L241">
        <v>7.1</v>
      </c>
      <c r="M241" t="s">
        <v>29</v>
      </c>
      <c r="N241" t="s">
        <v>58</v>
      </c>
      <c r="O241" t="b">
        <v>0</v>
      </c>
      <c r="P241" t="b">
        <v>0</v>
      </c>
    </row>
    <row r="242" spans="1:16" x14ac:dyDescent="0.3">
      <c r="A242" s="1">
        <v>45898</v>
      </c>
      <c r="B242" t="s">
        <v>59</v>
      </c>
      <c r="C242">
        <v>5</v>
      </c>
      <c r="D242" t="s">
        <v>17</v>
      </c>
      <c r="E242" t="s">
        <v>18</v>
      </c>
      <c r="F242">
        <v>49</v>
      </c>
      <c r="G242">
        <v>571</v>
      </c>
      <c r="H242">
        <v>98.7</v>
      </c>
      <c r="I242">
        <v>90.5</v>
      </c>
      <c r="J242">
        <v>164</v>
      </c>
      <c r="K242">
        <v>12651</v>
      </c>
      <c r="L242">
        <v>8.6</v>
      </c>
      <c r="M242" t="s">
        <v>19</v>
      </c>
      <c r="N242" t="s">
        <v>33</v>
      </c>
      <c r="O242" t="b">
        <v>0</v>
      </c>
      <c r="P242" t="b">
        <v>0</v>
      </c>
    </row>
    <row r="243" spans="1:16" x14ac:dyDescent="0.3">
      <c r="A243" s="1">
        <v>45899</v>
      </c>
      <c r="B243" t="s">
        <v>61</v>
      </c>
      <c r="C243">
        <v>6</v>
      </c>
      <c r="D243" t="s">
        <v>40</v>
      </c>
      <c r="E243" t="s">
        <v>41</v>
      </c>
      <c r="F243">
        <v>56</v>
      </c>
      <c r="G243">
        <v>465</v>
      </c>
      <c r="H243">
        <v>99.2</v>
      </c>
      <c r="I243">
        <v>90.5</v>
      </c>
      <c r="J243">
        <v>142</v>
      </c>
      <c r="K243">
        <v>7101</v>
      </c>
      <c r="L243">
        <v>6.1</v>
      </c>
      <c r="M243" t="s">
        <v>22</v>
      </c>
      <c r="N243" t="s">
        <v>44</v>
      </c>
      <c r="O243" t="b">
        <v>0</v>
      </c>
      <c r="P243" t="b">
        <v>0</v>
      </c>
    </row>
    <row r="244" spans="1:16" x14ac:dyDescent="0.3">
      <c r="A244" s="1">
        <v>45900</v>
      </c>
      <c r="B244" t="s">
        <v>63</v>
      </c>
      <c r="C244">
        <v>7</v>
      </c>
      <c r="D244" t="s">
        <v>27</v>
      </c>
      <c r="E244" t="s">
        <v>28</v>
      </c>
      <c r="F244">
        <v>0</v>
      </c>
      <c r="G244">
        <v>0</v>
      </c>
      <c r="H244">
        <v>98</v>
      </c>
      <c r="I244">
        <v>90.5</v>
      </c>
      <c r="J244">
        <v>68</v>
      </c>
      <c r="K244">
        <v>4252</v>
      </c>
      <c r="L244">
        <v>7.8</v>
      </c>
      <c r="M244" t="s">
        <v>29</v>
      </c>
      <c r="N244" t="s">
        <v>47</v>
      </c>
      <c r="O244" t="b">
        <v>0</v>
      </c>
      <c r="P244" t="b">
        <v>0</v>
      </c>
    </row>
    <row r="245" spans="1:16" x14ac:dyDescent="0.3">
      <c r="A245" s="1">
        <v>45901</v>
      </c>
      <c r="B245" t="s">
        <v>16</v>
      </c>
      <c r="C245">
        <v>1</v>
      </c>
      <c r="D245" t="s">
        <v>17</v>
      </c>
      <c r="E245" t="s">
        <v>25</v>
      </c>
      <c r="F245">
        <v>35</v>
      </c>
      <c r="G245">
        <v>424</v>
      </c>
      <c r="H245">
        <v>98.9</v>
      </c>
      <c r="I245">
        <v>90.4</v>
      </c>
      <c r="J245">
        <v>140</v>
      </c>
      <c r="K245">
        <v>10136</v>
      </c>
      <c r="L245">
        <v>7.2</v>
      </c>
      <c r="M245" t="s">
        <v>19</v>
      </c>
      <c r="N245" t="s">
        <v>35</v>
      </c>
      <c r="O245" t="b">
        <v>0</v>
      </c>
      <c r="P245" t="b">
        <v>0</v>
      </c>
    </row>
    <row r="246" spans="1:16" x14ac:dyDescent="0.3">
      <c r="A246" s="1">
        <v>45902</v>
      </c>
      <c r="B246" t="s">
        <v>39</v>
      </c>
      <c r="C246">
        <v>2</v>
      </c>
      <c r="D246" t="s">
        <v>40</v>
      </c>
      <c r="E246" t="s">
        <v>41</v>
      </c>
      <c r="F246">
        <v>52</v>
      </c>
      <c r="G246">
        <v>356</v>
      </c>
      <c r="H246">
        <v>100.5</v>
      </c>
      <c r="I246">
        <v>90.4</v>
      </c>
      <c r="J246">
        <v>140</v>
      </c>
      <c r="K246">
        <v>8108</v>
      </c>
      <c r="L246">
        <v>8.5</v>
      </c>
      <c r="M246" t="s">
        <v>22</v>
      </c>
      <c r="N246" t="s">
        <v>44</v>
      </c>
      <c r="O246" t="b">
        <v>0</v>
      </c>
      <c r="P246" t="b">
        <v>0</v>
      </c>
    </row>
    <row r="247" spans="1:16" x14ac:dyDescent="0.3">
      <c r="A247" s="1">
        <v>45903</v>
      </c>
      <c r="B247" t="s">
        <v>54</v>
      </c>
      <c r="C247">
        <v>3</v>
      </c>
      <c r="D247" t="s">
        <v>40</v>
      </c>
      <c r="E247" t="s">
        <v>41</v>
      </c>
      <c r="F247">
        <v>56</v>
      </c>
      <c r="G247">
        <v>374</v>
      </c>
      <c r="H247">
        <v>100.9</v>
      </c>
      <c r="I247">
        <v>90.4</v>
      </c>
      <c r="J247">
        <v>132</v>
      </c>
      <c r="K247">
        <v>6270</v>
      </c>
      <c r="L247">
        <v>7.7</v>
      </c>
      <c r="M247" t="s">
        <v>19</v>
      </c>
      <c r="N247" t="s">
        <v>42</v>
      </c>
      <c r="O247" t="b">
        <v>0</v>
      </c>
      <c r="P247" t="b">
        <v>0</v>
      </c>
    </row>
    <row r="248" spans="1:16" x14ac:dyDescent="0.3">
      <c r="A248" s="1">
        <v>45904</v>
      </c>
      <c r="B248" t="s">
        <v>55</v>
      </c>
      <c r="C248">
        <v>4</v>
      </c>
      <c r="D248" t="s">
        <v>36</v>
      </c>
      <c r="E248" t="s">
        <v>37</v>
      </c>
      <c r="F248">
        <v>20</v>
      </c>
      <c r="G248">
        <v>54</v>
      </c>
      <c r="H248">
        <v>99.8</v>
      </c>
      <c r="I248">
        <v>90.4</v>
      </c>
      <c r="J248">
        <v>100</v>
      </c>
      <c r="K248">
        <v>5228</v>
      </c>
      <c r="L248">
        <v>6</v>
      </c>
      <c r="M248" t="s">
        <v>29</v>
      </c>
      <c r="N248" t="s">
        <v>58</v>
      </c>
      <c r="O248" t="b">
        <v>0</v>
      </c>
      <c r="P248" t="b">
        <v>0</v>
      </c>
    </row>
    <row r="249" spans="1:16" x14ac:dyDescent="0.3">
      <c r="A249" s="1">
        <v>45905</v>
      </c>
      <c r="B249" t="s">
        <v>59</v>
      </c>
      <c r="C249">
        <v>5</v>
      </c>
      <c r="D249" t="s">
        <v>17</v>
      </c>
      <c r="E249" t="s">
        <v>21</v>
      </c>
      <c r="F249">
        <v>39</v>
      </c>
      <c r="G249">
        <v>358</v>
      </c>
      <c r="H249">
        <v>99.3</v>
      </c>
      <c r="I249">
        <v>90.3</v>
      </c>
      <c r="J249">
        <v>140</v>
      </c>
      <c r="K249">
        <v>12788</v>
      </c>
      <c r="L249">
        <v>6.7</v>
      </c>
      <c r="M249" t="s">
        <v>19</v>
      </c>
      <c r="N249" t="s">
        <v>35</v>
      </c>
      <c r="O249" t="b">
        <v>0</v>
      </c>
      <c r="P249" t="b">
        <v>0</v>
      </c>
    </row>
    <row r="250" spans="1:16" x14ac:dyDescent="0.3">
      <c r="A250" s="1">
        <v>45906</v>
      </c>
      <c r="B250" t="s">
        <v>61</v>
      </c>
      <c r="C250">
        <v>6</v>
      </c>
      <c r="D250" t="s">
        <v>40</v>
      </c>
      <c r="E250" t="s">
        <v>43</v>
      </c>
      <c r="F250">
        <v>71</v>
      </c>
      <c r="G250">
        <v>612</v>
      </c>
      <c r="H250">
        <v>98.7</v>
      </c>
      <c r="I250">
        <v>90.3</v>
      </c>
      <c r="J250">
        <v>135</v>
      </c>
      <c r="K250">
        <v>5661</v>
      </c>
      <c r="L250">
        <v>9.1999999999999993</v>
      </c>
      <c r="M250" t="s">
        <v>22</v>
      </c>
      <c r="N250" t="s">
        <v>46</v>
      </c>
      <c r="O250" t="b">
        <v>0</v>
      </c>
      <c r="P250" t="b">
        <v>0</v>
      </c>
    </row>
    <row r="251" spans="1:16" x14ac:dyDescent="0.3">
      <c r="A251" s="1">
        <v>45907</v>
      </c>
      <c r="B251" t="s">
        <v>63</v>
      </c>
      <c r="C251">
        <v>7</v>
      </c>
      <c r="D251" t="s">
        <v>27</v>
      </c>
      <c r="E251" t="s">
        <v>28</v>
      </c>
      <c r="F251">
        <v>0</v>
      </c>
      <c r="G251">
        <v>0</v>
      </c>
      <c r="H251">
        <v>98.7</v>
      </c>
      <c r="I251">
        <v>90.3</v>
      </c>
      <c r="J251">
        <v>66</v>
      </c>
      <c r="K251">
        <v>3496</v>
      </c>
      <c r="L251">
        <v>8.5</v>
      </c>
      <c r="M251" t="s">
        <v>29</v>
      </c>
      <c r="N251" t="s">
        <v>30</v>
      </c>
      <c r="O251" t="b">
        <v>0</v>
      </c>
      <c r="P251" t="b">
        <v>0</v>
      </c>
    </row>
    <row r="252" spans="1:16" x14ac:dyDescent="0.3">
      <c r="A252" s="1">
        <v>45908</v>
      </c>
      <c r="B252" t="s">
        <v>16</v>
      </c>
      <c r="C252">
        <v>1</v>
      </c>
      <c r="D252" t="s">
        <v>17</v>
      </c>
      <c r="E252" t="s">
        <v>32</v>
      </c>
      <c r="F252">
        <v>54</v>
      </c>
      <c r="G252">
        <v>678</v>
      </c>
      <c r="H252">
        <v>98.4</v>
      </c>
      <c r="I252">
        <v>90.3</v>
      </c>
      <c r="J252">
        <v>158</v>
      </c>
      <c r="K252">
        <v>12253</v>
      </c>
      <c r="L252">
        <v>7.1</v>
      </c>
      <c r="M252" t="s">
        <v>19</v>
      </c>
      <c r="N252" t="s">
        <v>23</v>
      </c>
      <c r="O252" t="b">
        <v>0</v>
      </c>
      <c r="P252" t="b">
        <v>0</v>
      </c>
    </row>
    <row r="253" spans="1:16" x14ac:dyDescent="0.3">
      <c r="A253" s="1">
        <v>45909</v>
      </c>
      <c r="B253" t="s">
        <v>39</v>
      </c>
      <c r="C253">
        <v>2</v>
      </c>
      <c r="D253" t="s">
        <v>40</v>
      </c>
      <c r="E253" t="s">
        <v>41</v>
      </c>
      <c r="F253">
        <v>46</v>
      </c>
      <c r="G253">
        <v>414</v>
      </c>
      <c r="H253">
        <v>100</v>
      </c>
      <c r="I253">
        <v>90.2</v>
      </c>
      <c r="J253">
        <v>147</v>
      </c>
      <c r="K253">
        <v>7316</v>
      </c>
      <c r="L253">
        <v>7</v>
      </c>
      <c r="M253" t="s">
        <v>19</v>
      </c>
      <c r="N253" t="s">
        <v>42</v>
      </c>
      <c r="O253" t="b">
        <v>0</v>
      </c>
      <c r="P253" t="b">
        <v>0</v>
      </c>
    </row>
    <row r="254" spans="1:16" x14ac:dyDescent="0.3">
      <c r="A254" s="1">
        <v>45910</v>
      </c>
      <c r="B254" t="s">
        <v>54</v>
      </c>
      <c r="C254">
        <v>3</v>
      </c>
      <c r="D254" t="s">
        <v>17</v>
      </c>
      <c r="E254" t="s">
        <v>18</v>
      </c>
      <c r="F254">
        <v>51</v>
      </c>
      <c r="G254">
        <v>466</v>
      </c>
      <c r="H254">
        <v>100.3</v>
      </c>
      <c r="I254">
        <v>90.2</v>
      </c>
      <c r="J254">
        <v>164</v>
      </c>
      <c r="K254">
        <v>14573</v>
      </c>
      <c r="L254">
        <v>8</v>
      </c>
      <c r="M254" t="s">
        <v>19</v>
      </c>
      <c r="N254" t="s">
        <v>24</v>
      </c>
      <c r="O254" t="b">
        <v>0</v>
      </c>
      <c r="P254" t="b">
        <v>0</v>
      </c>
    </row>
    <row r="255" spans="1:16" x14ac:dyDescent="0.3">
      <c r="A255" s="1">
        <v>45911</v>
      </c>
      <c r="B255" t="s">
        <v>55</v>
      </c>
      <c r="C255">
        <v>4</v>
      </c>
      <c r="D255" t="s">
        <v>36</v>
      </c>
      <c r="E255" t="s">
        <v>56</v>
      </c>
      <c r="F255">
        <v>32</v>
      </c>
      <c r="G255">
        <v>91</v>
      </c>
      <c r="H255">
        <v>98.8</v>
      </c>
      <c r="I255">
        <v>90.2</v>
      </c>
      <c r="J255">
        <v>82</v>
      </c>
      <c r="K255">
        <v>4778</v>
      </c>
      <c r="L255">
        <v>6</v>
      </c>
      <c r="M255" t="s">
        <v>29</v>
      </c>
      <c r="N255" t="s">
        <v>57</v>
      </c>
      <c r="O255" t="b">
        <v>0</v>
      </c>
      <c r="P255" t="b">
        <v>0</v>
      </c>
    </row>
    <row r="256" spans="1:16" x14ac:dyDescent="0.3">
      <c r="A256" s="1">
        <v>45912</v>
      </c>
      <c r="B256" t="s">
        <v>59</v>
      </c>
      <c r="C256">
        <v>5</v>
      </c>
      <c r="D256" t="s">
        <v>27</v>
      </c>
      <c r="E256" t="s">
        <v>28</v>
      </c>
      <c r="F256">
        <v>0</v>
      </c>
      <c r="G256">
        <v>0</v>
      </c>
      <c r="H256">
        <v>100</v>
      </c>
      <c r="I256">
        <v>90.2</v>
      </c>
      <c r="J256">
        <v>72</v>
      </c>
      <c r="K256">
        <v>5128</v>
      </c>
      <c r="L256">
        <v>6.9</v>
      </c>
      <c r="M256" t="s">
        <v>29</v>
      </c>
      <c r="N256" t="s">
        <v>47</v>
      </c>
      <c r="O256" t="b">
        <v>0</v>
      </c>
      <c r="P256" t="b">
        <v>0</v>
      </c>
    </row>
    <row r="257" spans="1:16" x14ac:dyDescent="0.3">
      <c r="A257" s="1">
        <v>45913</v>
      </c>
      <c r="B257" t="s">
        <v>61</v>
      </c>
      <c r="C257">
        <v>6</v>
      </c>
      <c r="D257" t="s">
        <v>40</v>
      </c>
      <c r="E257" t="s">
        <v>41</v>
      </c>
      <c r="F257">
        <v>42</v>
      </c>
      <c r="G257">
        <v>304</v>
      </c>
      <c r="H257">
        <v>98.8</v>
      </c>
      <c r="I257">
        <v>90.2</v>
      </c>
      <c r="J257">
        <v>158</v>
      </c>
      <c r="K257">
        <v>7371</v>
      </c>
      <c r="L257">
        <v>7.1</v>
      </c>
      <c r="M257" t="s">
        <v>22</v>
      </c>
      <c r="N257" t="s">
        <v>42</v>
      </c>
      <c r="O257" t="b">
        <v>0</v>
      </c>
      <c r="P257" t="b">
        <v>0</v>
      </c>
    </row>
    <row r="258" spans="1:16" x14ac:dyDescent="0.3">
      <c r="A258" s="1">
        <v>45914</v>
      </c>
      <c r="B258" t="s">
        <v>63</v>
      </c>
      <c r="C258">
        <v>7</v>
      </c>
      <c r="D258" t="s">
        <v>27</v>
      </c>
      <c r="E258" t="s">
        <v>28</v>
      </c>
      <c r="F258">
        <v>0</v>
      </c>
      <c r="G258">
        <v>0</v>
      </c>
      <c r="H258">
        <v>98.6</v>
      </c>
      <c r="I258">
        <v>90.1</v>
      </c>
      <c r="J258">
        <v>71</v>
      </c>
      <c r="K258">
        <v>3811</v>
      </c>
      <c r="L258">
        <v>7.2</v>
      </c>
      <c r="M258" t="s">
        <v>29</v>
      </c>
      <c r="N258" t="s">
        <v>30</v>
      </c>
      <c r="O258" t="b">
        <v>0</v>
      </c>
      <c r="P258" t="b">
        <v>0</v>
      </c>
    </row>
    <row r="259" spans="1:16" x14ac:dyDescent="0.3">
      <c r="A259" s="1">
        <v>45915</v>
      </c>
      <c r="B259" t="s">
        <v>16</v>
      </c>
      <c r="C259">
        <v>1</v>
      </c>
      <c r="D259" t="s">
        <v>17</v>
      </c>
      <c r="E259" t="s">
        <v>32</v>
      </c>
      <c r="F259">
        <v>50</v>
      </c>
      <c r="G259">
        <v>478</v>
      </c>
      <c r="H259">
        <v>98.7</v>
      </c>
      <c r="I259">
        <v>90.1</v>
      </c>
      <c r="J259">
        <v>153</v>
      </c>
      <c r="K259">
        <v>13009</v>
      </c>
      <c r="L259">
        <v>8.4</v>
      </c>
      <c r="M259" t="s">
        <v>19</v>
      </c>
      <c r="N259" t="s">
        <v>26</v>
      </c>
      <c r="O259" t="b">
        <v>0</v>
      </c>
      <c r="P259" t="b">
        <v>0</v>
      </c>
    </row>
    <row r="260" spans="1:16" x14ac:dyDescent="0.3">
      <c r="A260" s="1">
        <v>45916</v>
      </c>
      <c r="B260" t="s">
        <v>39</v>
      </c>
      <c r="C260">
        <v>2</v>
      </c>
      <c r="D260" t="s">
        <v>40</v>
      </c>
      <c r="E260" t="s">
        <v>43</v>
      </c>
      <c r="F260">
        <v>62</v>
      </c>
      <c r="G260">
        <v>490</v>
      </c>
      <c r="H260">
        <v>99.3</v>
      </c>
      <c r="I260">
        <v>90.1</v>
      </c>
      <c r="J260">
        <v>131</v>
      </c>
      <c r="K260">
        <v>6489</v>
      </c>
      <c r="L260">
        <v>7.9</v>
      </c>
      <c r="M260" t="s">
        <v>22</v>
      </c>
      <c r="N260" t="s">
        <v>45</v>
      </c>
      <c r="O260" t="b">
        <v>0</v>
      </c>
      <c r="P260" t="b">
        <v>0</v>
      </c>
    </row>
    <row r="261" spans="1:16" x14ac:dyDescent="0.3">
      <c r="A261" s="1">
        <v>45917</v>
      </c>
      <c r="B261" t="s">
        <v>54</v>
      </c>
      <c r="C261">
        <v>3</v>
      </c>
      <c r="D261" t="s">
        <v>17</v>
      </c>
      <c r="E261" t="s">
        <v>25</v>
      </c>
      <c r="F261">
        <v>49</v>
      </c>
      <c r="G261">
        <v>374</v>
      </c>
      <c r="H261">
        <v>98.9</v>
      </c>
      <c r="I261">
        <v>90.1</v>
      </c>
      <c r="J261">
        <v>160</v>
      </c>
      <c r="K261">
        <v>8175</v>
      </c>
      <c r="L261">
        <v>6.9</v>
      </c>
      <c r="M261" t="s">
        <v>19</v>
      </c>
      <c r="N261" t="s">
        <v>23</v>
      </c>
      <c r="O261" t="b">
        <v>0</v>
      </c>
      <c r="P261" t="b">
        <v>0</v>
      </c>
    </row>
    <row r="262" spans="1:16" x14ac:dyDescent="0.3">
      <c r="A262" s="1">
        <v>45918</v>
      </c>
      <c r="B262" t="s">
        <v>55</v>
      </c>
      <c r="C262">
        <v>4</v>
      </c>
      <c r="D262" t="s">
        <v>36</v>
      </c>
      <c r="E262" t="s">
        <v>37</v>
      </c>
      <c r="F262">
        <v>41</v>
      </c>
      <c r="G262">
        <v>126</v>
      </c>
      <c r="H262">
        <v>98.7</v>
      </c>
      <c r="I262">
        <v>90.1</v>
      </c>
      <c r="J262">
        <v>99</v>
      </c>
      <c r="K262">
        <v>5444</v>
      </c>
      <c r="L262">
        <v>7.4</v>
      </c>
      <c r="M262" t="s">
        <v>29</v>
      </c>
      <c r="N262" t="s">
        <v>58</v>
      </c>
      <c r="O262" t="b">
        <v>0</v>
      </c>
      <c r="P262" t="b">
        <v>0</v>
      </c>
    </row>
    <row r="263" spans="1:16" x14ac:dyDescent="0.3">
      <c r="A263" s="1">
        <v>45919</v>
      </c>
      <c r="B263" t="s">
        <v>59</v>
      </c>
      <c r="C263">
        <v>5</v>
      </c>
      <c r="D263" t="s">
        <v>40</v>
      </c>
      <c r="E263" t="s">
        <v>43</v>
      </c>
      <c r="F263">
        <v>46</v>
      </c>
      <c r="G263">
        <v>399</v>
      </c>
      <c r="H263">
        <v>98.7</v>
      </c>
      <c r="I263">
        <v>90</v>
      </c>
      <c r="J263">
        <v>148</v>
      </c>
      <c r="K263">
        <v>7437</v>
      </c>
      <c r="L263">
        <v>8</v>
      </c>
      <c r="M263" t="s">
        <v>19</v>
      </c>
      <c r="N263" t="s">
        <v>45</v>
      </c>
      <c r="O263" t="b">
        <v>0</v>
      </c>
      <c r="P263" t="b">
        <v>0</v>
      </c>
    </row>
    <row r="264" spans="1:16" x14ac:dyDescent="0.3">
      <c r="A264" s="1">
        <v>45920</v>
      </c>
      <c r="B264" t="s">
        <v>61</v>
      </c>
      <c r="C264">
        <v>6</v>
      </c>
      <c r="D264" t="s">
        <v>40</v>
      </c>
      <c r="E264" t="s">
        <v>43</v>
      </c>
      <c r="F264">
        <v>35</v>
      </c>
      <c r="G264">
        <v>240</v>
      </c>
      <c r="H264">
        <v>98.8</v>
      </c>
      <c r="I264">
        <v>90</v>
      </c>
      <c r="J264">
        <v>134</v>
      </c>
      <c r="K264">
        <v>6949</v>
      </c>
      <c r="L264">
        <v>7.7</v>
      </c>
      <c r="M264" t="s">
        <v>19</v>
      </c>
      <c r="N264" t="s">
        <v>48</v>
      </c>
      <c r="O264" t="b">
        <v>0</v>
      </c>
      <c r="P264" t="b">
        <v>0</v>
      </c>
    </row>
    <row r="265" spans="1:16" x14ac:dyDescent="0.3">
      <c r="A265" s="1">
        <v>45921</v>
      </c>
      <c r="B265" t="s">
        <v>63</v>
      </c>
      <c r="C265">
        <v>7</v>
      </c>
      <c r="D265" t="s">
        <v>27</v>
      </c>
      <c r="E265" t="s">
        <v>28</v>
      </c>
      <c r="F265">
        <v>0</v>
      </c>
      <c r="G265">
        <v>0</v>
      </c>
      <c r="H265">
        <v>97.7</v>
      </c>
      <c r="I265">
        <v>90</v>
      </c>
      <c r="J265">
        <v>66</v>
      </c>
      <c r="K265">
        <v>5508</v>
      </c>
      <c r="L265">
        <v>7.2</v>
      </c>
      <c r="M265" t="s">
        <v>29</v>
      </c>
      <c r="N265" t="s">
        <v>47</v>
      </c>
      <c r="O265" t="b">
        <v>0</v>
      </c>
      <c r="P265" t="b">
        <v>0</v>
      </c>
    </row>
    <row r="266" spans="1:16" x14ac:dyDescent="0.3">
      <c r="A266" s="1">
        <v>45922</v>
      </c>
      <c r="B266" t="s">
        <v>16</v>
      </c>
      <c r="C266">
        <v>1</v>
      </c>
      <c r="D266" t="s">
        <v>17</v>
      </c>
      <c r="E266" t="s">
        <v>32</v>
      </c>
      <c r="F266">
        <v>69</v>
      </c>
      <c r="G266">
        <v>890</v>
      </c>
      <c r="H266">
        <v>98.2</v>
      </c>
      <c r="I266">
        <v>90</v>
      </c>
      <c r="J266">
        <v>151</v>
      </c>
      <c r="K266">
        <v>8585</v>
      </c>
      <c r="L266">
        <v>8.1</v>
      </c>
      <c r="M266" t="s">
        <v>22</v>
      </c>
      <c r="N266" t="s">
        <v>26</v>
      </c>
      <c r="O266" t="b">
        <v>0</v>
      </c>
      <c r="P266" t="b">
        <v>0</v>
      </c>
    </row>
    <row r="267" spans="1:16" x14ac:dyDescent="0.3">
      <c r="A267" s="1">
        <v>45923</v>
      </c>
      <c r="B267" t="s">
        <v>39</v>
      </c>
      <c r="C267">
        <v>2</v>
      </c>
      <c r="D267" t="s">
        <v>40</v>
      </c>
      <c r="E267" t="s">
        <v>41</v>
      </c>
      <c r="F267">
        <v>87</v>
      </c>
      <c r="G267">
        <v>1159</v>
      </c>
      <c r="H267">
        <v>98.5</v>
      </c>
      <c r="I267">
        <v>90</v>
      </c>
      <c r="J267">
        <v>148</v>
      </c>
      <c r="K267">
        <v>5090</v>
      </c>
      <c r="L267">
        <v>8.1</v>
      </c>
      <c r="M267" t="s">
        <v>19</v>
      </c>
      <c r="N267" t="s">
        <v>48</v>
      </c>
      <c r="O267" t="b">
        <v>0</v>
      </c>
      <c r="P267" t="b">
        <v>0</v>
      </c>
    </row>
    <row r="268" spans="1:16" x14ac:dyDescent="0.3">
      <c r="A268" s="1">
        <v>45924</v>
      </c>
      <c r="B268" t="s">
        <v>54</v>
      </c>
      <c r="C268">
        <v>3</v>
      </c>
      <c r="D268" t="s">
        <v>17</v>
      </c>
      <c r="E268" t="s">
        <v>25</v>
      </c>
      <c r="F268">
        <v>56</v>
      </c>
      <c r="G268">
        <v>804</v>
      </c>
      <c r="H268">
        <v>100.1</v>
      </c>
      <c r="I268">
        <v>89.9</v>
      </c>
      <c r="J268">
        <v>155</v>
      </c>
      <c r="K268">
        <v>13852</v>
      </c>
      <c r="L268">
        <v>6.9</v>
      </c>
      <c r="M268" t="s">
        <v>22</v>
      </c>
      <c r="N268" t="s">
        <v>33</v>
      </c>
      <c r="O268" t="b">
        <v>0</v>
      </c>
      <c r="P268" t="b">
        <v>0</v>
      </c>
    </row>
    <row r="269" spans="1:16" x14ac:dyDescent="0.3">
      <c r="A269" s="1">
        <v>45925</v>
      </c>
      <c r="B269" t="s">
        <v>55</v>
      </c>
      <c r="C269">
        <v>4</v>
      </c>
      <c r="D269" t="s">
        <v>36</v>
      </c>
      <c r="E269" t="s">
        <v>37</v>
      </c>
      <c r="F269">
        <v>37</v>
      </c>
      <c r="G269">
        <v>142</v>
      </c>
      <c r="H269">
        <v>98.6</v>
      </c>
      <c r="I269">
        <v>89.9</v>
      </c>
      <c r="J269">
        <v>96</v>
      </c>
      <c r="K269">
        <v>6414</v>
      </c>
      <c r="L269">
        <v>8</v>
      </c>
      <c r="M269" t="s">
        <v>29</v>
      </c>
      <c r="N269" t="s">
        <v>57</v>
      </c>
      <c r="O269" t="b">
        <v>0</v>
      </c>
      <c r="P269" t="b">
        <v>0</v>
      </c>
    </row>
    <row r="270" spans="1:16" x14ac:dyDescent="0.3">
      <c r="A270" s="1">
        <v>45926</v>
      </c>
      <c r="B270" t="s">
        <v>59</v>
      </c>
      <c r="C270">
        <v>5</v>
      </c>
      <c r="D270" t="s">
        <v>17</v>
      </c>
      <c r="E270" t="s">
        <v>21</v>
      </c>
      <c r="F270">
        <v>54</v>
      </c>
      <c r="G270">
        <v>854</v>
      </c>
      <c r="H270">
        <v>97.4</v>
      </c>
      <c r="I270">
        <v>89.9</v>
      </c>
      <c r="J270">
        <v>159</v>
      </c>
      <c r="K270">
        <v>12902</v>
      </c>
      <c r="L270">
        <v>7.6</v>
      </c>
      <c r="M270" t="s">
        <v>22</v>
      </c>
      <c r="N270" t="s">
        <v>33</v>
      </c>
      <c r="O270" t="b">
        <v>0</v>
      </c>
      <c r="P270" t="b">
        <v>0</v>
      </c>
    </row>
    <row r="271" spans="1:16" x14ac:dyDescent="0.3">
      <c r="A271" s="1">
        <v>45927</v>
      </c>
      <c r="B271" t="s">
        <v>61</v>
      </c>
      <c r="C271">
        <v>6</v>
      </c>
      <c r="D271" t="s">
        <v>40</v>
      </c>
      <c r="E271" t="s">
        <v>43</v>
      </c>
      <c r="F271">
        <v>51</v>
      </c>
      <c r="G271">
        <v>389</v>
      </c>
      <c r="H271">
        <v>98.3</v>
      </c>
      <c r="I271">
        <v>89.9</v>
      </c>
      <c r="J271">
        <v>155</v>
      </c>
      <c r="K271">
        <v>5966</v>
      </c>
      <c r="L271">
        <v>8.5</v>
      </c>
      <c r="M271" t="s">
        <v>22</v>
      </c>
      <c r="N271" t="s">
        <v>44</v>
      </c>
      <c r="O271" t="b">
        <v>0</v>
      </c>
      <c r="P271" t="b">
        <v>0</v>
      </c>
    </row>
    <row r="272" spans="1:16" x14ac:dyDescent="0.3">
      <c r="A272" s="1">
        <v>45928</v>
      </c>
      <c r="B272" t="s">
        <v>63</v>
      </c>
      <c r="C272">
        <v>7</v>
      </c>
      <c r="D272" t="s">
        <v>27</v>
      </c>
      <c r="E272" t="s">
        <v>28</v>
      </c>
      <c r="F272">
        <v>0</v>
      </c>
      <c r="G272">
        <v>0</v>
      </c>
      <c r="H272">
        <v>98.8</v>
      </c>
      <c r="I272">
        <v>89.9</v>
      </c>
      <c r="J272">
        <v>66</v>
      </c>
      <c r="K272">
        <v>4242</v>
      </c>
      <c r="L272">
        <v>8.6</v>
      </c>
      <c r="M272" t="s">
        <v>29</v>
      </c>
      <c r="N272" t="s">
        <v>34</v>
      </c>
      <c r="O272" t="b">
        <v>0</v>
      </c>
      <c r="P272" t="b">
        <v>0</v>
      </c>
    </row>
    <row r="273" spans="1:16" x14ac:dyDescent="0.3">
      <c r="A273" s="1">
        <v>45929</v>
      </c>
      <c r="B273" t="s">
        <v>16</v>
      </c>
      <c r="C273">
        <v>1</v>
      </c>
      <c r="D273" t="s">
        <v>17</v>
      </c>
      <c r="E273" t="s">
        <v>32</v>
      </c>
      <c r="F273">
        <v>56</v>
      </c>
      <c r="G273">
        <v>703</v>
      </c>
      <c r="H273">
        <v>97.2</v>
      </c>
      <c r="I273">
        <v>89.8</v>
      </c>
      <c r="J273">
        <v>169</v>
      </c>
      <c r="K273">
        <v>12178</v>
      </c>
      <c r="L273">
        <v>8.5</v>
      </c>
      <c r="M273" t="s">
        <v>19</v>
      </c>
      <c r="N273" t="s">
        <v>33</v>
      </c>
      <c r="O273" t="b">
        <v>0</v>
      </c>
      <c r="P273" t="b">
        <v>0</v>
      </c>
    </row>
    <row r="274" spans="1:16" x14ac:dyDescent="0.3">
      <c r="A274" s="1">
        <v>45930</v>
      </c>
      <c r="B274" t="s">
        <v>39</v>
      </c>
      <c r="C274">
        <v>2</v>
      </c>
      <c r="D274" t="s">
        <v>40</v>
      </c>
      <c r="E274" t="s">
        <v>43</v>
      </c>
      <c r="F274">
        <v>37</v>
      </c>
      <c r="G274">
        <v>256</v>
      </c>
      <c r="H274">
        <v>99.6</v>
      </c>
      <c r="I274">
        <v>89.8</v>
      </c>
      <c r="J274">
        <v>140</v>
      </c>
      <c r="K274">
        <v>8501</v>
      </c>
      <c r="L274">
        <v>6.9</v>
      </c>
      <c r="M274" t="s">
        <v>19</v>
      </c>
      <c r="N274" t="s">
        <v>42</v>
      </c>
      <c r="O274" t="b">
        <v>0</v>
      </c>
      <c r="P274" t="b">
        <v>0</v>
      </c>
    </row>
    <row r="275" spans="1:16" x14ac:dyDescent="0.3">
      <c r="A275" s="1">
        <v>45931</v>
      </c>
      <c r="B275" t="s">
        <v>54</v>
      </c>
      <c r="C275">
        <v>3</v>
      </c>
      <c r="D275" t="s">
        <v>17</v>
      </c>
      <c r="E275" t="s">
        <v>32</v>
      </c>
      <c r="F275">
        <v>48</v>
      </c>
      <c r="G275">
        <v>757</v>
      </c>
      <c r="H275">
        <v>98.1</v>
      </c>
      <c r="I275">
        <v>89.8</v>
      </c>
      <c r="J275">
        <v>160</v>
      </c>
      <c r="K275">
        <v>8510</v>
      </c>
      <c r="L275">
        <v>7.2</v>
      </c>
      <c r="M275" t="s">
        <v>22</v>
      </c>
      <c r="N275" t="s">
        <v>35</v>
      </c>
      <c r="O275" t="b">
        <v>0</v>
      </c>
      <c r="P275" t="b">
        <v>0</v>
      </c>
    </row>
    <row r="276" spans="1:16" x14ac:dyDescent="0.3">
      <c r="A276" s="1">
        <v>45932</v>
      </c>
      <c r="B276" t="s">
        <v>55</v>
      </c>
      <c r="C276">
        <v>4</v>
      </c>
      <c r="D276" t="s">
        <v>36</v>
      </c>
      <c r="E276" t="s">
        <v>56</v>
      </c>
      <c r="F276">
        <v>32</v>
      </c>
      <c r="G276">
        <v>111</v>
      </c>
      <c r="H276">
        <v>99.7</v>
      </c>
      <c r="I276">
        <v>89.8</v>
      </c>
      <c r="J276">
        <v>82</v>
      </c>
      <c r="K276">
        <v>5737</v>
      </c>
      <c r="L276">
        <v>7.9</v>
      </c>
      <c r="M276" t="s">
        <v>29</v>
      </c>
      <c r="N276" t="s">
        <v>57</v>
      </c>
      <c r="O276" t="b">
        <v>0</v>
      </c>
      <c r="P276" t="b">
        <v>0</v>
      </c>
    </row>
    <row r="277" spans="1:16" x14ac:dyDescent="0.3">
      <c r="A277" s="1">
        <v>45933</v>
      </c>
      <c r="B277" t="s">
        <v>59</v>
      </c>
      <c r="C277">
        <v>5</v>
      </c>
      <c r="D277" t="s">
        <v>27</v>
      </c>
      <c r="E277" t="s">
        <v>28</v>
      </c>
      <c r="F277">
        <v>0</v>
      </c>
      <c r="G277">
        <v>0</v>
      </c>
      <c r="H277">
        <v>98.7</v>
      </c>
      <c r="I277">
        <v>89.8</v>
      </c>
      <c r="J277">
        <v>67</v>
      </c>
      <c r="K277">
        <v>5498</v>
      </c>
      <c r="L277">
        <v>8.3000000000000007</v>
      </c>
      <c r="M277" t="s">
        <v>29</v>
      </c>
      <c r="N277" t="s">
        <v>47</v>
      </c>
      <c r="O277" t="b">
        <v>0</v>
      </c>
      <c r="P277" t="b">
        <v>1</v>
      </c>
    </row>
    <row r="278" spans="1:16" x14ac:dyDescent="0.3">
      <c r="A278" s="1">
        <v>45934</v>
      </c>
      <c r="B278" t="s">
        <v>61</v>
      </c>
      <c r="C278">
        <v>6</v>
      </c>
      <c r="D278" t="s">
        <v>27</v>
      </c>
      <c r="E278" t="s">
        <v>28</v>
      </c>
      <c r="F278">
        <v>0</v>
      </c>
      <c r="G278">
        <v>0</v>
      </c>
      <c r="H278">
        <v>97.9</v>
      </c>
      <c r="I278">
        <v>89.8</v>
      </c>
      <c r="J278">
        <v>65</v>
      </c>
      <c r="K278">
        <v>4431</v>
      </c>
      <c r="L278">
        <v>7.8</v>
      </c>
      <c r="M278" t="s">
        <v>29</v>
      </c>
      <c r="N278" t="s">
        <v>47</v>
      </c>
      <c r="O278" t="b">
        <v>0</v>
      </c>
      <c r="P278" t="b">
        <v>1</v>
      </c>
    </row>
    <row r="279" spans="1:16" x14ac:dyDescent="0.3">
      <c r="A279" s="1">
        <v>45935</v>
      </c>
      <c r="B279" t="s">
        <v>63</v>
      </c>
      <c r="C279">
        <v>7</v>
      </c>
      <c r="D279" t="s">
        <v>27</v>
      </c>
      <c r="E279" t="s">
        <v>28</v>
      </c>
      <c r="F279">
        <v>0</v>
      </c>
      <c r="G279">
        <v>0</v>
      </c>
      <c r="H279">
        <v>98.2</v>
      </c>
      <c r="I279">
        <v>89.7</v>
      </c>
      <c r="J279">
        <v>72</v>
      </c>
      <c r="K279">
        <v>4405</v>
      </c>
      <c r="L279">
        <v>6</v>
      </c>
      <c r="M279" t="s">
        <v>29</v>
      </c>
      <c r="N279" t="s">
        <v>34</v>
      </c>
      <c r="O279" t="b">
        <v>0</v>
      </c>
      <c r="P279" t="b">
        <v>1</v>
      </c>
    </row>
    <row r="280" spans="1:16" x14ac:dyDescent="0.3">
      <c r="A280" s="1">
        <v>45936</v>
      </c>
      <c r="B280" t="s">
        <v>16</v>
      </c>
      <c r="C280">
        <v>1</v>
      </c>
      <c r="D280" t="s">
        <v>27</v>
      </c>
      <c r="E280" t="s">
        <v>28</v>
      </c>
      <c r="F280">
        <v>0</v>
      </c>
      <c r="G280">
        <v>0</v>
      </c>
      <c r="H280">
        <v>99.1</v>
      </c>
      <c r="I280">
        <v>89.7</v>
      </c>
      <c r="J280">
        <v>71</v>
      </c>
      <c r="K280">
        <v>5229</v>
      </c>
      <c r="L280">
        <v>6</v>
      </c>
      <c r="M280" t="s">
        <v>29</v>
      </c>
      <c r="N280" t="s">
        <v>34</v>
      </c>
      <c r="O280" t="b">
        <v>0</v>
      </c>
      <c r="P280" t="b">
        <v>1</v>
      </c>
    </row>
    <row r="281" spans="1:16" x14ac:dyDescent="0.3">
      <c r="A281" s="1">
        <v>45937</v>
      </c>
      <c r="B281" t="s">
        <v>39</v>
      </c>
      <c r="C281">
        <v>2</v>
      </c>
      <c r="D281" t="s">
        <v>27</v>
      </c>
      <c r="E281" t="s">
        <v>28</v>
      </c>
      <c r="F281">
        <v>0</v>
      </c>
      <c r="G281">
        <v>0</v>
      </c>
      <c r="H281">
        <v>98.7</v>
      </c>
      <c r="I281">
        <v>89.7</v>
      </c>
      <c r="J281">
        <v>72</v>
      </c>
      <c r="K281">
        <v>4051</v>
      </c>
      <c r="L281">
        <v>8.1999999999999993</v>
      </c>
      <c r="M281" t="s">
        <v>29</v>
      </c>
      <c r="N281" t="s">
        <v>34</v>
      </c>
      <c r="O281" t="b">
        <v>0</v>
      </c>
      <c r="P281" t="b">
        <v>1</v>
      </c>
    </row>
    <row r="282" spans="1:16" x14ac:dyDescent="0.3">
      <c r="A282" s="1">
        <v>45938</v>
      </c>
      <c r="B282" t="s">
        <v>54</v>
      </c>
      <c r="C282">
        <v>3</v>
      </c>
      <c r="D282" t="s">
        <v>17</v>
      </c>
      <c r="E282" t="s">
        <v>18</v>
      </c>
      <c r="F282">
        <v>38</v>
      </c>
      <c r="G282">
        <v>343</v>
      </c>
      <c r="H282">
        <v>98.4</v>
      </c>
      <c r="I282">
        <v>89.7</v>
      </c>
      <c r="J282">
        <v>163</v>
      </c>
      <c r="K282">
        <v>10928</v>
      </c>
      <c r="L282">
        <v>7.9</v>
      </c>
      <c r="M282" t="s">
        <v>22</v>
      </c>
      <c r="N282" t="s">
        <v>26</v>
      </c>
      <c r="O282" t="b">
        <v>0</v>
      </c>
      <c r="P282" t="b">
        <v>0</v>
      </c>
    </row>
    <row r="283" spans="1:16" x14ac:dyDescent="0.3">
      <c r="A283" s="1">
        <v>45939</v>
      </c>
      <c r="B283" t="s">
        <v>55</v>
      </c>
      <c r="C283">
        <v>4</v>
      </c>
      <c r="D283" t="s">
        <v>17</v>
      </c>
      <c r="E283" t="s">
        <v>18</v>
      </c>
      <c r="F283">
        <v>29</v>
      </c>
      <c r="G283">
        <v>404</v>
      </c>
      <c r="H283">
        <v>99.1</v>
      </c>
      <c r="I283">
        <v>89.7</v>
      </c>
      <c r="J283">
        <v>158</v>
      </c>
      <c r="K283">
        <v>14465</v>
      </c>
      <c r="L283">
        <v>7.6</v>
      </c>
      <c r="M283" t="s">
        <v>19</v>
      </c>
      <c r="N283" t="s">
        <v>31</v>
      </c>
      <c r="O283" t="b">
        <v>0</v>
      </c>
      <c r="P283" t="b">
        <v>0</v>
      </c>
    </row>
    <row r="284" spans="1:16" x14ac:dyDescent="0.3">
      <c r="A284" s="1">
        <v>45940</v>
      </c>
      <c r="B284" t="s">
        <v>59</v>
      </c>
      <c r="C284">
        <v>5</v>
      </c>
      <c r="D284" t="s">
        <v>17</v>
      </c>
      <c r="E284" t="s">
        <v>18</v>
      </c>
      <c r="F284">
        <v>63</v>
      </c>
      <c r="G284">
        <v>701</v>
      </c>
      <c r="H284">
        <v>98.6</v>
      </c>
      <c r="I284">
        <v>89.7</v>
      </c>
      <c r="J284">
        <v>155</v>
      </c>
      <c r="K284">
        <v>9053</v>
      </c>
      <c r="L284">
        <v>8.3000000000000007</v>
      </c>
      <c r="M284" t="s">
        <v>19</v>
      </c>
      <c r="N284" t="s">
        <v>31</v>
      </c>
      <c r="O284" t="b">
        <v>0</v>
      </c>
      <c r="P284" t="b">
        <v>0</v>
      </c>
    </row>
    <row r="285" spans="1:16" x14ac:dyDescent="0.3">
      <c r="A285" s="1">
        <v>45941</v>
      </c>
      <c r="B285" t="s">
        <v>61</v>
      </c>
      <c r="C285">
        <v>6</v>
      </c>
      <c r="D285" t="s">
        <v>40</v>
      </c>
      <c r="E285" t="s">
        <v>41</v>
      </c>
      <c r="F285">
        <v>48</v>
      </c>
      <c r="G285">
        <v>440</v>
      </c>
      <c r="H285">
        <v>99</v>
      </c>
      <c r="I285">
        <v>89.6</v>
      </c>
      <c r="J285">
        <v>145</v>
      </c>
      <c r="K285">
        <v>7099</v>
      </c>
      <c r="L285">
        <v>6.9</v>
      </c>
      <c r="M285" t="s">
        <v>19</v>
      </c>
      <c r="N285" t="s">
        <v>48</v>
      </c>
      <c r="O285" t="b">
        <v>0</v>
      </c>
      <c r="P285" t="b">
        <v>0</v>
      </c>
    </row>
    <row r="286" spans="1:16" x14ac:dyDescent="0.3">
      <c r="A286" s="1">
        <v>45942</v>
      </c>
      <c r="B286" t="s">
        <v>63</v>
      </c>
      <c r="C286">
        <v>7</v>
      </c>
      <c r="D286" t="s">
        <v>27</v>
      </c>
      <c r="E286" t="s">
        <v>28</v>
      </c>
      <c r="F286">
        <v>0</v>
      </c>
      <c r="G286">
        <v>0</v>
      </c>
      <c r="H286">
        <v>97.2</v>
      </c>
      <c r="I286">
        <v>89.6</v>
      </c>
      <c r="J286">
        <v>68</v>
      </c>
      <c r="K286">
        <v>4521</v>
      </c>
      <c r="L286">
        <v>6.1</v>
      </c>
      <c r="M286" t="s">
        <v>29</v>
      </c>
      <c r="N286" t="s">
        <v>47</v>
      </c>
      <c r="O286" t="b">
        <v>0</v>
      </c>
      <c r="P286" t="b">
        <v>0</v>
      </c>
    </row>
    <row r="287" spans="1:16" x14ac:dyDescent="0.3">
      <c r="A287" s="1">
        <v>45943</v>
      </c>
      <c r="B287" t="s">
        <v>16</v>
      </c>
      <c r="C287">
        <v>1</v>
      </c>
      <c r="D287" t="s">
        <v>17</v>
      </c>
      <c r="E287" t="s">
        <v>21</v>
      </c>
      <c r="F287">
        <v>25</v>
      </c>
      <c r="G287">
        <v>287</v>
      </c>
      <c r="H287">
        <v>96.5</v>
      </c>
      <c r="I287">
        <v>89.6</v>
      </c>
      <c r="J287">
        <v>163</v>
      </c>
      <c r="K287">
        <v>12760</v>
      </c>
      <c r="L287">
        <v>7.8</v>
      </c>
      <c r="M287" t="s">
        <v>19</v>
      </c>
      <c r="N287" t="s">
        <v>20</v>
      </c>
      <c r="O287" t="b">
        <v>0</v>
      </c>
      <c r="P287" t="b">
        <v>0</v>
      </c>
    </row>
    <row r="288" spans="1:16" x14ac:dyDescent="0.3">
      <c r="A288" s="1">
        <v>45944</v>
      </c>
      <c r="B288" t="s">
        <v>39</v>
      </c>
      <c r="C288">
        <v>2</v>
      </c>
      <c r="D288" t="s">
        <v>40</v>
      </c>
      <c r="E288" t="s">
        <v>43</v>
      </c>
      <c r="F288">
        <v>46</v>
      </c>
      <c r="G288">
        <v>387</v>
      </c>
      <c r="H288">
        <v>97.5</v>
      </c>
      <c r="I288">
        <v>89.6</v>
      </c>
      <c r="J288">
        <v>142</v>
      </c>
      <c r="K288">
        <v>8996</v>
      </c>
      <c r="L288">
        <v>6.2</v>
      </c>
      <c r="M288" t="s">
        <v>22</v>
      </c>
      <c r="N288" t="s">
        <v>44</v>
      </c>
      <c r="O288" t="b">
        <v>0</v>
      </c>
      <c r="P288" t="b">
        <v>0</v>
      </c>
    </row>
    <row r="289" spans="1:16" x14ac:dyDescent="0.3">
      <c r="A289" s="1">
        <v>45945</v>
      </c>
      <c r="B289" t="s">
        <v>54</v>
      </c>
      <c r="C289">
        <v>3</v>
      </c>
      <c r="D289" t="s">
        <v>17</v>
      </c>
      <c r="E289" t="s">
        <v>18</v>
      </c>
      <c r="F289">
        <v>47</v>
      </c>
      <c r="G289">
        <v>664</v>
      </c>
      <c r="H289">
        <v>97.4</v>
      </c>
      <c r="I289">
        <v>89.6</v>
      </c>
      <c r="J289">
        <v>156</v>
      </c>
      <c r="K289">
        <v>11226</v>
      </c>
      <c r="L289">
        <v>7.1</v>
      </c>
      <c r="M289" t="s">
        <v>22</v>
      </c>
      <c r="N289" t="s">
        <v>35</v>
      </c>
      <c r="O289" t="b">
        <v>0</v>
      </c>
      <c r="P289" t="b">
        <v>0</v>
      </c>
    </row>
    <row r="290" spans="1:16" x14ac:dyDescent="0.3">
      <c r="A290" s="1">
        <v>45946</v>
      </c>
      <c r="B290" t="s">
        <v>55</v>
      </c>
      <c r="C290">
        <v>4</v>
      </c>
      <c r="D290" t="s">
        <v>36</v>
      </c>
      <c r="E290" t="s">
        <v>56</v>
      </c>
      <c r="F290">
        <v>42</v>
      </c>
      <c r="G290">
        <v>126</v>
      </c>
      <c r="H290">
        <v>98.1</v>
      </c>
      <c r="I290">
        <v>89.6</v>
      </c>
      <c r="J290">
        <v>97</v>
      </c>
      <c r="K290">
        <v>5271</v>
      </c>
      <c r="L290">
        <v>6.7</v>
      </c>
      <c r="M290" t="s">
        <v>29</v>
      </c>
      <c r="N290" t="s">
        <v>58</v>
      </c>
      <c r="O290" t="b">
        <v>0</v>
      </c>
      <c r="P290" t="b">
        <v>0</v>
      </c>
    </row>
    <row r="291" spans="1:16" x14ac:dyDescent="0.3">
      <c r="A291" s="1">
        <v>45947</v>
      </c>
      <c r="B291" t="s">
        <v>59</v>
      </c>
      <c r="C291">
        <v>5</v>
      </c>
      <c r="D291" t="s">
        <v>17</v>
      </c>
      <c r="E291" t="s">
        <v>21</v>
      </c>
      <c r="F291">
        <v>52</v>
      </c>
      <c r="G291">
        <v>399</v>
      </c>
      <c r="H291">
        <v>98.5</v>
      </c>
      <c r="I291">
        <v>89.5</v>
      </c>
      <c r="J291">
        <v>168</v>
      </c>
      <c r="K291">
        <v>8691</v>
      </c>
      <c r="L291">
        <v>7</v>
      </c>
      <c r="M291" t="s">
        <v>19</v>
      </c>
      <c r="N291" t="s">
        <v>31</v>
      </c>
      <c r="O291" t="b">
        <v>0</v>
      </c>
      <c r="P291" t="b">
        <v>0</v>
      </c>
    </row>
    <row r="292" spans="1:16" x14ac:dyDescent="0.3">
      <c r="A292" s="1">
        <v>45948</v>
      </c>
      <c r="B292" t="s">
        <v>61</v>
      </c>
      <c r="C292">
        <v>6</v>
      </c>
      <c r="D292" t="s">
        <v>40</v>
      </c>
      <c r="E292" t="s">
        <v>43</v>
      </c>
      <c r="F292">
        <v>50</v>
      </c>
      <c r="G292">
        <v>358</v>
      </c>
      <c r="H292">
        <v>97.7</v>
      </c>
      <c r="I292">
        <v>89.5</v>
      </c>
      <c r="J292">
        <v>138</v>
      </c>
      <c r="K292">
        <v>7653</v>
      </c>
      <c r="L292">
        <v>6.4</v>
      </c>
      <c r="M292" t="s">
        <v>19</v>
      </c>
      <c r="N292" t="s">
        <v>46</v>
      </c>
      <c r="O292" t="b">
        <v>0</v>
      </c>
      <c r="P292" t="b">
        <v>0</v>
      </c>
    </row>
    <row r="293" spans="1:16" x14ac:dyDescent="0.3">
      <c r="A293" s="1">
        <v>45949</v>
      </c>
      <c r="B293" t="s">
        <v>63</v>
      </c>
      <c r="C293">
        <v>7</v>
      </c>
      <c r="D293" t="s">
        <v>27</v>
      </c>
      <c r="E293" t="s">
        <v>28</v>
      </c>
      <c r="F293">
        <v>0</v>
      </c>
      <c r="G293">
        <v>0</v>
      </c>
      <c r="H293">
        <v>96.4</v>
      </c>
      <c r="I293">
        <v>89.5</v>
      </c>
      <c r="J293">
        <v>68</v>
      </c>
      <c r="K293">
        <v>3610</v>
      </c>
      <c r="L293">
        <v>7.1</v>
      </c>
      <c r="M293" t="s">
        <v>29</v>
      </c>
      <c r="N293" t="s">
        <v>34</v>
      </c>
      <c r="O293" t="b">
        <v>0</v>
      </c>
      <c r="P293" t="b">
        <v>0</v>
      </c>
    </row>
    <row r="294" spans="1:16" x14ac:dyDescent="0.3">
      <c r="A294" s="1">
        <v>45950</v>
      </c>
      <c r="B294" t="s">
        <v>16</v>
      </c>
      <c r="C294">
        <v>1</v>
      </c>
      <c r="D294" t="s">
        <v>17</v>
      </c>
      <c r="E294" t="s">
        <v>18</v>
      </c>
      <c r="F294">
        <v>40</v>
      </c>
      <c r="G294">
        <v>357</v>
      </c>
      <c r="H294">
        <v>98.3</v>
      </c>
      <c r="I294">
        <v>89.5</v>
      </c>
      <c r="J294">
        <v>156</v>
      </c>
      <c r="K294">
        <v>8066</v>
      </c>
      <c r="L294">
        <v>6.6</v>
      </c>
      <c r="M294" t="s">
        <v>19</v>
      </c>
      <c r="N294" t="s">
        <v>26</v>
      </c>
      <c r="O294" t="b">
        <v>0</v>
      </c>
      <c r="P294" t="b">
        <v>0</v>
      </c>
    </row>
    <row r="295" spans="1:16" x14ac:dyDescent="0.3">
      <c r="A295" s="1">
        <v>45951</v>
      </c>
      <c r="B295" t="s">
        <v>39</v>
      </c>
      <c r="C295">
        <v>2</v>
      </c>
      <c r="D295" t="s">
        <v>40</v>
      </c>
      <c r="E295" t="s">
        <v>41</v>
      </c>
      <c r="F295">
        <v>69</v>
      </c>
      <c r="G295">
        <v>658</v>
      </c>
      <c r="H295">
        <v>97.2</v>
      </c>
      <c r="I295">
        <v>89.5</v>
      </c>
      <c r="J295">
        <v>141</v>
      </c>
      <c r="K295">
        <v>6611</v>
      </c>
      <c r="L295">
        <v>7.8</v>
      </c>
      <c r="M295" t="s">
        <v>22</v>
      </c>
      <c r="N295" t="s">
        <v>46</v>
      </c>
      <c r="O295" t="b">
        <v>0</v>
      </c>
      <c r="P295" t="b">
        <v>0</v>
      </c>
    </row>
    <row r="296" spans="1:16" x14ac:dyDescent="0.3">
      <c r="A296" s="1">
        <v>45952</v>
      </c>
      <c r="B296" t="s">
        <v>54</v>
      </c>
      <c r="C296">
        <v>3</v>
      </c>
      <c r="D296" t="s">
        <v>27</v>
      </c>
      <c r="E296" t="s">
        <v>28</v>
      </c>
      <c r="F296">
        <v>0</v>
      </c>
      <c r="G296">
        <v>0</v>
      </c>
      <c r="H296">
        <v>97.2</v>
      </c>
      <c r="I296">
        <v>89.5</v>
      </c>
      <c r="J296">
        <v>65</v>
      </c>
      <c r="K296">
        <v>5244</v>
      </c>
      <c r="L296">
        <v>7.7</v>
      </c>
      <c r="M296" t="s">
        <v>29</v>
      </c>
      <c r="N296" t="s">
        <v>30</v>
      </c>
      <c r="O296" t="b">
        <v>0</v>
      </c>
      <c r="P296" t="b">
        <v>0</v>
      </c>
    </row>
    <row r="297" spans="1:16" x14ac:dyDescent="0.3">
      <c r="A297" s="1">
        <v>45953</v>
      </c>
      <c r="B297" t="s">
        <v>55</v>
      </c>
      <c r="C297">
        <v>4</v>
      </c>
      <c r="D297" t="s">
        <v>36</v>
      </c>
      <c r="E297" t="s">
        <v>37</v>
      </c>
      <c r="F297">
        <v>34</v>
      </c>
      <c r="G297">
        <v>116</v>
      </c>
      <c r="H297">
        <v>97.3</v>
      </c>
      <c r="I297">
        <v>89.5</v>
      </c>
      <c r="J297">
        <v>91</v>
      </c>
      <c r="K297">
        <v>4741</v>
      </c>
      <c r="L297">
        <v>7.7</v>
      </c>
      <c r="M297" t="s">
        <v>29</v>
      </c>
      <c r="N297" t="s">
        <v>58</v>
      </c>
      <c r="O297" t="b">
        <v>0</v>
      </c>
      <c r="P297" t="b">
        <v>0</v>
      </c>
    </row>
    <row r="298" spans="1:16" x14ac:dyDescent="0.3">
      <c r="A298" s="1">
        <v>45954</v>
      </c>
      <c r="B298" t="s">
        <v>59</v>
      </c>
      <c r="C298">
        <v>5</v>
      </c>
      <c r="D298" t="s">
        <v>17</v>
      </c>
      <c r="E298" t="s">
        <v>21</v>
      </c>
      <c r="F298">
        <v>75</v>
      </c>
      <c r="G298">
        <v>628</v>
      </c>
      <c r="H298">
        <v>98.1</v>
      </c>
      <c r="I298">
        <v>89.4</v>
      </c>
      <c r="J298">
        <v>159</v>
      </c>
      <c r="K298">
        <v>9472</v>
      </c>
      <c r="L298">
        <v>7.1</v>
      </c>
      <c r="M298" t="s">
        <v>22</v>
      </c>
      <c r="N298" t="s">
        <v>26</v>
      </c>
      <c r="O298" t="b">
        <v>0</v>
      </c>
      <c r="P298" t="b">
        <v>0</v>
      </c>
    </row>
    <row r="299" spans="1:16" x14ac:dyDescent="0.3">
      <c r="A299" s="1">
        <v>45955</v>
      </c>
      <c r="B299" t="s">
        <v>61</v>
      </c>
      <c r="C299">
        <v>6</v>
      </c>
      <c r="D299" t="s">
        <v>40</v>
      </c>
      <c r="E299" t="s">
        <v>41</v>
      </c>
      <c r="F299">
        <v>31</v>
      </c>
      <c r="G299">
        <v>211</v>
      </c>
      <c r="H299">
        <v>97.9</v>
      </c>
      <c r="I299">
        <v>89.4</v>
      </c>
      <c r="J299">
        <v>131</v>
      </c>
      <c r="K299">
        <v>7750</v>
      </c>
      <c r="L299">
        <v>7.7</v>
      </c>
      <c r="M299" t="s">
        <v>19</v>
      </c>
      <c r="N299" t="s">
        <v>46</v>
      </c>
      <c r="O299" t="b">
        <v>0</v>
      </c>
      <c r="P299" t="b">
        <v>0</v>
      </c>
    </row>
    <row r="300" spans="1:16" x14ac:dyDescent="0.3">
      <c r="A300" s="1">
        <v>45956</v>
      </c>
      <c r="B300" t="s">
        <v>63</v>
      </c>
      <c r="C300">
        <v>7</v>
      </c>
      <c r="D300" t="s">
        <v>27</v>
      </c>
      <c r="E300" t="s">
        <v>28</v>
      </c>
      <c r="F300">
        <v>0</v>
      </c>
      <c r="G300">
        <v>0</v>
      </c>
      <c r="H300">
        <v>98.1</v>
      </c>
      <c r="I300">
        <v>89.4</v>
      </c>
      <c r="J300">
        <v>73</v>
      </c>
      <c r="K300">
        <v>3040</v>
      </c>
      <c r="L300">
        <v>7.7</v>
      </c>
      <c r="M300" t="s">
        <v>29</v>
      </c>
      <c r="N300" t="s">
        <v>30</v>
      </c>
      <c r="O300" t="b">
        <v>0</v>
      </c>
      <c r="P300" t="b">
        <v>0</v>
      </c>
    </row>
    <row r="301" spans="1:16" x14ac:dyDescent="0.3">
      <c r="A301" s="1">
        <v>45957</v>
      </c>
      <c r="B301" t="s">
        <v>16</v>
      </c>
      <c r="C301">
        <v>1</v>
      </c>
      <c r="D301" t="s">
        <v>17</v>
      </c>
      <c r="E301" t="s">
        <v>32</v>
      </c>
      <c r="F301">
        <v>56</v>
      </c>
      <c r="G301">
        <v>548</v>
      </c>
      <c r="H301">
        <v>97.6</v>
      </c>
      <c r="I301">
        <v>89.4</v>
      </c>
      <c r="J301">
        <v>170</v>
      </c>
      <c r="K301">
        <v>12770</v>
      </c>
      <c r="L301">
        <v>8</v>
      </c>
      <c r="M301" t="s">
        <v>19</v>
      </c>
      <c r="N301" t="s">
        <v>31</v>
      </c>
      <c r="O301" t="b">
        <v>0</v>
      </c>
      <c r="P301" t="b">
        <v>0</v>
      </c>
    </row>
    <row r="302" spans="1:16" x14ac:dyDescent="0.3">
      <c r="A302" s="1">
        <v>45958</v>
      </c>
      <c r="B302" t="s">
        <v>39</v>
      </c>
      <c r="C302">
        <v>2</v>
      </c>
      <c r="D302" t="s">
        <v>40</v>
      </c>
      <c r="E302" t="s">
        <v>43</v>
      </c>
      <c r="F302">
        <v>49</v>
      </c>
      <c r="G302">
        <v>393</v>
      </c>
      <c r="H302">
        <v>98.6</v>
      </c>
      <c r="I302">
        <v>89.4</v>
      </c>
      <c r="J302">
        <v>140</v>
      </c>
      <c r="K302">
        <v>6449</v>
      </c>
      <c r="L302">
        <v>8.8000000000000007</v>
      </c>
      <c r="M302" t="s">
        <v>19</v>
      </c>
      <c r="N302" t="s">
        <v>46</v>
      </c>
      <c r="O302" t="b">
        <v>0</v>
      </c>
      <c r="P302" t="b">
        <v>0</v>
      </c>
    </row>
    <row r="303" spans="1:16" x14ac:dyDescent="0.3">
      <c r="A303" s="1">
        <v>45959</v>
      </c>
      <c r="B303" t="s">
        <v>54</v>
      </c>
      <c r="C303">
        <v>3</v>
      </c>
      <c r="D303" t="s">
        <v>27</v>
      </c>
      <c r="E303" t="s">
        <v>28</v>
      </c>
      <c r="F303">
        <v>0</v>
      </c>
      <c r="G303">
        <v>0</v>
      </c>
      <c r="H303">
        <v>99.6</v>
      </c>
      <c r="I303">
        <v>89.4</v>
      </c>
      <c r="J303">
        <v>66</v>
      </c>
      <c r="K303">
        <v>5700</v>
      </c>
      <c r="L303">
        <v>6.5</v>
      </c>
      <c r="M303" t="s">
        <v>29</v>
      </c>
      <c r="N303" t="s">
        <v>47</v>
      </c>
      <c r="O303" t="b">
        <v>0</v>
      </c>
      <c r="P303" t="b">
        <v>0</v>
      </c>
    </row>
    <row r="304" spans="1:16" x14ac:dyDescent="0.3">
      <c r="A304" s="1">
        <v>45960</v>
      </c>
      <c r="B304" t="s">
        <v>55</v>
      </c>
      <c r="C304">
        <v>4</v>
      </c>
      <c r="D304" t="s">
        <v>36</v>
      </c>
      <c r="E304" t="s">
        <v>37</v>
      </c>
      <c r="F304">
        <v>61</v>
      </c>
      <c r="G304">
        <v>166</v>
      </c>
      <c r="H304">
        <v>98.9</v>
      </c>
      <c r="I304">
        <v>89.4</v>
      </c>
      <c r="J304">
        <v>99</v>
      </c>
      <c r="K304">
        <v>5097</v>
      </c>
      <c r="L304">
        <v>6.9</v>
      </c>
      <c r="M304" t="s">
        <v>29</v>
      </c>
      <c r="N304" t="s">
        <v>38</v>
      </c>
      <c r="O304" t="b">
        <v>0</v>
      </c>
      <c r="P304" t="b">
        <v>0</v>
      </c>
    </row>
    <row r="305" spans="1:16" x14ac:dyDescent="0.3">
      <c r="A305" s="1">
        <v>45961</v>
      </c>
      <c r="B305" t="s">
        <v>59</v>
      </c>
      <c r="C305">
        <v>5</v>
      </c>
      <c r="D305" t="s">
        <v>17</v>
      </c>
      <c r="E305" t="s">
        <v>25</v>
      </c>
      <c r="F305">
        <v>45</v>
      </c>
      <c r="G305">
        <v>482</v>
      </c>
      <c r="H305">
        <v>98.7</v>
      </c>
      <c r="I305">
        <v>89.3</v>
      </c>
      <c r="J305">
        <v>148</v>
      </c>
      <c r="K305">
        <v>10801</v>
      </c>
      <c r="L305">
        <v>8.3000000000000007</v>
      </c>
      <c r="M305" t="s">
        <v>19</v>
      </c>
      <c r="N305" t="s">
        <v>35</v>
      </c>
      <c r="O305" t="b">
        <v>0</v>
      </c>
      <c r="P305" t="b">
        <v>0</v>
      </c>
    </row>
  </sheetData>
  <sortState xmlns:xlrd2="http://schemas.microsoft.com/office/spreadsheetml/2017/richdata2" ref="A2:P305">
    <sortCondition ref="A1:A30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3AFA-26E2-4BD3-AA4D-7121F2D6C842}">
  <dimension ref="A1:N53"/>
  <sheetViews>
    <sheetView tabSelected="1"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6.5546875" bestFit="1" customWidth="1"/>
    <col min="3" max="3" width="16.44140625" bestFit="1" customWidth="1"/>
    <col min="4" max="4" width="11.77734375" bestFit="1" customWidth="1"/>
    <col min="5" max="6" width="23.44140625" bestFit="1" customWidth="1"/>
    <col min="7" max="7" width="15.33203125" bestFit="1" customWidth="1"/>
    <col min="8" max="8" width="21.88671875" bestFit="1" customWidth="1"/>
    <col min="9" max="9" width="24.5546875" bestFit="1" customWidth="1"/>
    <col min="10" max="10" width="20.33203125" bestFit="1" customWidth="1"/>
    <col min="11" max="11" width="21.33203125" bestFit="1" customWidth="1"/>
    <col min="12" max="12" width="22" bestFit="1" customWidth="1"/>
    <col min="13" max="13" width="20.21875" bestFit="1" customWidth="1"/>
    <col min="14" max="14" width="49.77734375" bestFit="1" customWidth="1"/>
  </cols>
  <sheetData>
    <row r="1" spans="1:14" x14ac:dyDescent="0.3">
      <c r="D1" s="2" t="s">
        <v>64</v>
      </c>
    </row>
    <row r="3" spans="1:14" x14ac:dyDescent="0.3">
      <c r="A3" s="9" t="s">
        <v>65</v>
      </c>
      <c r="B3" s="10" t="s">
        <v>66</v>
      </c>
      <c r="C3" s="11" t="s">
        <v>67</v>
      </c>
      <c r="D3" s="9" t="s">
        <v>68</v>
      </c>
      <c r="E3" s="9" t="s">
        <v>97</v>
      </c>
    </row>
    <row r="4" spans="1:14" x14ac:dyDescent="0.3">
      <c r="A4" s="3">
        <v>40.93333333333333</v>
      </c>
      <c r="B4" s="3">
        <v>381.16666666666669</v>
      </c>
      <c r="C4" s="13">
        <v>7921.9333333333334</v>
      </c>
      <c r="D4" s="3">
        <v>7.5933333333333337</v>
      </c>
      <c r="E4" s="3">
        <v>127.83333333333333</v>
      </c>
    </row>
    <row r="5" spans="1:14" x14ac:dyDescent="0.3">
      <c r="B5" s="3">
        <f>C4</f>
        <v>7921.9333333333334</v>
      </c>
      <c r="C5" s="3">
        <f>10000 - C4</f>
        <v>2078.0666666666666</v>
      </c>
    </row>
    <row r="6" spans="1:14" x14ac:dyDescent="0.3">
      <c r="A6" s="12" t="s">
        <v>69</v>
      </c>
      <c r="B6" s="12" t="s">
        <v>70</v>
      </c>
    </row>
    <row r="7" spans="1:14" x14ac:dyDescent="0.3">
      <c r="A7" s="3">
        <v>99.6</v>
      </c>
      <c r="B7" s="3">
        <v>89.8</v>
      </c>
    </row>
    <row r="8" spans="1:14" ht="15.6" x14ac:dyDescent="0.3">
      <c r="A8" s="8" t="str">
        <f>REPT("●",ROUNDUP(MAX(0,MIN(1,(115-A7)/(115-80)))*10,0))&amp;REPT("○",10-ROUNDUP(MAX(0,MIN(1,(115-A7)/(115-80)))*10,0))</f>
        <v>●●●●●○○○○○</v>
      </c>
      <c r="B8" s="7"/>
      <c r="C8" s="7"/>
    </row>
    <row r="9" spans="1:14" ht="15.6" x14ac:dyDescent="0.3">
      <c r="A9" s="6" t="str">
        <f>IF(A7&gt;80,"You're"&amp;(A7-80)&amp;"kg away from your weight loss goals.",IF(A7&lt;80,"you’re "&amp;(80-A7)&amp;"kg from reaching your target weight.","you've hit your goal. Nice one!"))</f>
        <v>You're19.6kg away from your weight loss goals.</v>
      </c>
    </row>
    <row r="10" spans="1:14" ht="15.6" x14ac:dyDescent="0.3">
      <c r="A10" s="6"/>
    </row>
    <row r="11" spans="1:14" x14ac:dyDescent="0.3">
      <c r="A11" s="9" t="s">
        <v>69</v>
      </c>
      <c r="B11" s="9" t="s">
        <v>70</v>
      </c>
      <c r="C11" s="9" t="s">
        <v>71</v>
      </c>
      <c r="D11" s="9" t="s">
        <v>72</v>
      </c>
      <c r="E11" s="9" t="s">
        <v>73</v>
      </c>
      <c r="F11" s="9" t="s">
        <v>74</v>
      </c>
      <c r="G11" s="9" t="s">
        <v>75</v>
      </c>
      <c r="H11" s="9" t="s">
        <v>76</v>
      </c>
      <c r="I11" s="9" t="s">
        <v>77</v>
      </c>
      <c r="J11" s="9" t="s">
        <v>78</v>
      </c>
      <c r="K11" s="9" t="s">
        <v>79</v>
      </c>
      <c r="L11" s="9" t="s">
        <v>80</v>
      </c>
      <c r="M11" s="9" t="s">
        <v>81</v>
      </c>
      <c r="N11" s="9" t="s">
        <v>82</v>
      </c>
    </row>
    <row r="12" spans="1:14" x14ac:dyDescent="0.3">
      <c r="A12" s="3">
        <v>99.6</v>
      </c>
      <c r="B12" s="3">
        <v>89.8</v>
      </c>
      <c r="C12" s="3">
        <v>80</v>
      </c>
      <c r="D12" s="3">
        <v>115.4</v>
      </c>
      <c r="E12" s="3">
        <v>1.7555555555555569</v>
      </c>
      <c r="F12" s="3">
        <v>25</v>
      </c>
      <c r="G12" s="3">
        <v>15.800000000000011</v>
      </c>
      <c r="H12" s="3">
        <v>11435</v>
      </c>
      <c r="I12" s="3">
        <v>20.466666666666665</v>
      </c>
      <c r="J12" s="3">
        <v>25</v>
      </c>
      <c r="K12" s="3" t="s">
        <v>19</v>
      </c>
      <c r="L12" s="14">
        <v>1.25</v>
      </c>
      <c r="M12" s="3">
        <v>-3.7000000000000028</v>
      </c>
      <c r="N12" s="3" t="s">
        <v>98</v>
      </c>
    </row>
    <row r="13" spans="1:14" x14ac:dyDescent="0.3">
      <c r="L13" t="str">
        <f>REPT("●",ROUNDUP(MIN(L12,1)*10,0)) &amp; REPT("○",10-ROUNDUP(MIN(L12, 1)*10,0)) &amp; " " &amp; TEXT(L12,"0%")</f>
        <v>●●●●●●●●●● 125%</v>
      </c>
    </row>
    <row r="14" spans="1:14" x14ac:dyDescent="0.3">
      <c r="A14" t="s">
        <v>94</v>
      </c>
    </row>
    <row r="15" spans="1:14" x14ac:dyDescent="0.3">
      <c r="A15" s="9" t="s">
        <v>83</v>
      </c>
      <c r="B15" s="9" t="s">
        <v>69</v>
      </c>
      <c r="C15" s="9" t="s">
        <v>70</v>
      </c>
    </row>
    <row r="16" spans="1:14" x14ac:dyDescent="0.3">
      <c r="A16" s="5" t="s">
        <v>84</v>
      </c>
      <c r="B16" s="3">
        <v>111.6</v>
      </c>
      <c r="C16" s="3">
        <v>107.9</v>
      </c>
    </row>
    <row r="17" spans="1:3" x14ac:dyDescent="0.3">
      <c r="A17" s="5" t="s">
        <v>85</v>
      </c>
      <c r="B17" s="3">
        <v>108.6</v>
      </c>
      <c r="C17" s="3">
        <v>103.1</v>
      </c>
    </row>
    <row r="18" spans="1:3" x14ac:dyDescent="0.3">
      <c r="A18" s="5" t="s">
        <v>86</v>
      </c>
      <c r="B18" s="3">
        <v>106</v>
      </c>
      <c r="C18" s="3">
        <v>99.1</v>
      </c>
    </row>
    <row r="19" spans="1:3" x14ac:dyDescent="0.3">
      <c r="A19" s="5" t="s">
        <v>87</v>
      </c>
      <c r="B19" s="3">
        <v>104.8</v>
      </c>
      <c r="C19" s="3">
        <v>96.3</v>
      </c>
    </row>
    <row r="20" spans="1:3" x14ac:dyDescent="0.3">
      <c r="A20" s="5" t="s">
        <v>88</v>
      </c>
      <c r="B20" s="3">
        <v>100.8</v>
      </c>
      <c r="C20" s="3">
        <v>94.1</v>
      </c>
    </row>
    <row r="21" spans="1:3" x14ac:dyDescent="0.3">
      <c r="A21" s="5" t="s">
        <v>89</v>
      </c>
      <c r="B21" s="3">
        <v>100.4</v>
      </c>
      <c r="C21" s="3">
        <v>92.5</v>
      </c>
    </row>
    <row r="22" spans="1:3" x14ac:dyDescent="0.3">
      <c r="A22" s="5" t="s">
        <v>90</v>
      </c>
      <c r="B22" s="3">
        <v>101</v>
      </c>
      <c r="C22" s="3">
        <v>91.3</v>
      </c>
    </row>
    <row r="23" spans="1:3" x14ac:dyDescent="0.3">
      <c r="A23" s="5" t="s">
        <v>91</v>
      </c>
      <c r="B23" s="3">
        <v>98</v>
      </c>
      <c r="C23" s="3">
        <v>90.5</v>
      </c>
    </row>
    <row r="24" spans="1:3" x14ac:dyDescent="0.3">
      <c r="A24" s="5" t="s">
        <v>92</v>
      </c>
      <c r="B24" s="3">
        <v>99.6</v>
      </c>
      <c r="C24" s="3">
        <v>89.8</v>
      </c>
    </row>
    <row r="25" spans="1:3" x14ac:dyDescent="0.3">
      <c r="A25" s="5" t="s">
        <v>93</v>
      </c>
      <c r="B25" s="3">
        <v>98.7</v>
      </c>
      <c r="C25" s="3">
        <v>89.3</v>
      </c>
    </row>
    <row r="30" spans="1:3" x14ac:dyDescent="0.3">
      <c r="A30" s="4" t="s">
        <v>83</v>
      </c>
      <c r="B30" t="s">
        <v>96</v>
      </c>
      <c r="C30" t="s">
        <v>95</v>
      </c>
    </row>
    <row r="31" spans="1:3" x14ac:dyDescent="0.3">
      <c r="A31" s="5" t="s">
        <v>32</v>
      </c>
      <c r="B31" s="3">
        <v>57.25</v>
      </c>
      <c r="C31" s="3">
        <v>687.25</v>
      </c>
    </row>
    <row r="32" spans="1:3" x14ac:dyDescent="0.3">
      <c r="A32" s="5" t="s">
        <v>21</v>
      </c>
      <c r="B32" s="3">
        <v>46.5</v>
      </c>
      <c r="C32" s="3">
        <v>606</v>
      </c>
    </row>
    <row r="33" spans="1:4" x14ac:dyDescent="0.3">
      <c r="A33" s="5" t="s">
        <v>25</v>
      </c>
      <c r="B33" s="3">
        <v>46.666666666666664</v>
      </c>
      <c r="C33" s="3">
        <v>534</v>
      </c>
    </row>
    <row r="34" spans="1:4" x14ac:dyDescent="0.3">
      <c r="A34" s="5" t="s">
        <v>41</v>
      </c>
      <c r="B34" s="3">
        <v>56.6</v>
      </c>
      <c r="C34" s="3">
        <v>521.4</v>
      </c>
    </row>
    <row r="35" spans="1:4" x14ac:dyDescent="0.3">
      <c r="A35" s="5" t="s">
        <v>18</v>
      </c>
      <c r="B35" s="3">
        <v>51</v>
      </c>
      <c r="C35" s="3">
        <v>466</v>
      </c>
    </row>
    <row r="36" spans="1:4" x14ac:dyDescent="0.3">
      <c r="A36" s="5" t="s">
        <v>43</v>
      </c>
      <c r="B36" s="3">
        <v>50.333333333333336</v>
      </c>
      <c r="C36" s="3">
        <v>397.66666666666669</v>
      </c>
    </row>
    <row r="37" spans="1:4" x14ac:dyDescent="0.3">
      <c r="A37" s="5" t="s">
        <v>37</v>
      </c>
      <c r="B37" s="3">
        <v>32.666666666666664</v>
      </c>
      <c r="C37" s="3">
        <v>107.33333333333333</v>
      </c>
    </row>
    <row r="38" spans="1:4" x14ac:dyDescent="0.3">
      <c r="A38" s="5" t="s">
        <v>56</v>
      </c>
      <c r="B38" s="3">
        <v>32</v>
      </c>
      <c r="C38" s="3">
        <v>91</v>
      </c>
    </row>
    <row r="39" spans="1:4" x14ac:dyDescent="0.3">
      <c r="A39" s="5" t="s">
        <v>28</v>
      </c>
      <c r="B39" s="3">
        <v>0</v>
      </c>
      <c r="C39" s="3">
        <v>0</v>
      </c>
    </row>
    <row r="46" spans="1:4" x14ac:dyDescent="0.3">
      <c r="A46" s="4" t="s">
        <v>83</v>
      </c>
      <c r="B46" t="s">
        <v>96</v>
      </c>
      <c r="C46" t="s">
        <v>95</v>
      </c>
    </row>
    <row r="47" spans="1:4" x14ac:dyDescent="0.3">
      <c r="A47" s="5" t="s">
        <v>16</v>
      </c>
      <c r="B47" s="3">
        <v>52.8</v>
      </c>
      <c r="C47" s="3">
        <v>634.6</v>
      </c>
      <c r="D47">
        <f>_xlfn.SWITCH(A47,
"Monday",1,
"Tuesday",2,
"Wednesday",3,
"Thursday",4,
"Friday",5,
"Saturday",6,
"Sunday",7)</f>
        <v>1</v>
      </c>
    </row>
    <row r="48" spans="1:4" x14ac:dyDescent="0.3">
      <c r="A48" s="5" t="s">
        <v>39</v>
      </c>
      <c r="B48" s="3">
        <v>56.8</v>
      </c>
      <c r="C48" s="3">
        <v>535</v>
      </c>
      <c r="D48">
        <f t="shared" ref="D48:D53" si="0">_xlfn.SWITCH(A48,
"Monday",1,
"Tuesday",2,
"Wednesday",3,
"Thursday",4,
"Friday",5,
"Saturday",6,
"Sunday",7)</f>
        <v>2</v>
      </c>
    </row>
    <row r="49" spans="1:4" x14ac:dyDescent="0.3">
      <c r="A49" s="5" t="s">
        <v>54</v>
      </c>
      <c r="B49" s="3">
        <v>53</v>
      </c>
      <c r="C49" s="3">
        <v>504.5</v>
      </c>
      <c r="D49">
        <f t="shared" si="0"/>
        <v>3</v>
      </c>
    </row>
    <row r="50" spans="1:4" x14ac:dyDescent="0.3">
      <c r="A50" s="5" t="s">
        <v>55</v>
      </c>
      <c r="B50" s="3">
        <v>32.5</v>
      </c>
      <c r="C50" s="3">
        <v>103.25</v>
      </c>
      <c r="D50">
        <f t="shared" si="0"/>
        <v>4</v>
      </c>
    </row>
    <row r="51" spans="1:4" x14ac:dyDescent="0.3">
      <c r="A51" s="5" t="s">
        <v>59</v>
      </c>
      <c r="B51" s="3">
        <v>34.75</v>
      </c>
      <c r="C51" s="3">
        <v>402.75</v>
      </c>
      <c r="D51">
        <f t="shared" si="0"/>
        <v>5</v>
      </c>
    </row>
    <row r="52" spans="1:4" x14ac:dyDescent="0.3">
      <c r="A52" s="5" t="s">
        <v>61</v>
      </c>
      <c r="B52" s="3">
        <v>49.75</v>
      </c>
      <c r="C52" s="3">
        <v>386.25</v>
      </c>
      <c r="D52">
        <f t="shared" si="0"/>
        <v>6</v>
      </c>
    </row>
    <row r="53" spans="1:4" x14ac:dyDescent="0.3">
      <c r="A53" s="5" t="s">
        <v>63</v>
      </c>
      <c r="B53" s="3">
        <v>0</v>
      </c>
      <c r="C53" s="3">
        <v>0</v>
      </c>
      <c r="D53">
        <f t="shared" si="0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53F1-7055-4952-8341-F6248BB415E1}">
  <dimension ref="A1"/>
  <sheetViews>
    <sheetView showGridLines="0" showRowColHeaders="0" zoomScale="99" zoomScaleNormal="99" workbookViewId="0"/>
  </sheetViews>
  <sheetFormatPr defaultRowHeight="14.4" x14ac:dyDescent="0.3"/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706A59BE-2D27-49F9-80B3-F8A7CDD4B061}">
  <ds:schemaRefs/>
</ds:datastoreItem>
</file>

<file path=customXml/itemProps2.xml><?xml version="1.0" encoding="utf-8"?>
<ds:datastoreItem xmlns:ds="http://schemas.openxmlformats.org/officeDocument/2006/customXml" ds:itemID="{C476737A-2D31-4DAF-BC22-6219C6E6DCAA}">
  <ds:schemaRefs/>
</ds:datastoreItem>
</file>

<file path=customXml/itemProps3.xml><?xml version="1.0" encoding="utf-8"?>
<ds:datastoreItem xmlns:ds="http://schemas.openxmlformats.org/officeDocument/2006/customXml" ds:itemID="{4697AE04-62C1-4065-81D3-CEFD4C67B737}">
  <ds:schemaRefs/>
</ds:datastoreItem>
</file>

<file path=customXml/itemProps4.xml><?xml version="1.0" encoding="utf-8"?>
<ds:datastoreItem xmlns:ds="http://schemas.openxmlformats.org/officeDocument/2006/customXml" ds:itemID="{5E58576B-5AF4-4551-AFD6-10A7B750651A}">
  <ds:schemaRefs/>
</ds:datastoreItem>
</file>

<file path=customXml/itemProps5.xml><?xml version="1.0" encoding="utf-8"?>
<ds:datastoreItem xmlns:ds="http://schemas.openxmlformats.org/officeDocument/2006/customXml" ds:itemID="{492976B7-5FCD-4430-A65E-F045C7206378}">
  <ds:schemaRefs/>
</ds:datastoreItem>
</file>

<file path=customXml/itemProps6.xml><?xml version="1.0" encoding="utf-8"?>
<ds:datastoreItem xmlns:ds="http://schemas.openxmlformats.org/officeDocument/2006/customXml" ds:itemID="{4539FC8B-9ADD-49A3-B860-4D275A646691}">
  <ds:schemaRefs/>
</ds:datastoreItem>
</file>

<file path=customXml/itemProps7.xml><?xml version="1.0" encoding="utf-8"?>
<ds:datastoreItem xmlns:ds="http://schemas.openxmlformats.org/officeDocument/2006/customXml" ds:itemID="{F29121B2-65E5-4192-99CA-AFEF61741468}">
  <ds:schemaRefs/>
</ds:datastoreItem>
</file>

<file path=customXml/itemProps8.xml><?xml version="1.0" encoding="utf-8"?>
<ds:datastoreItem xmlns:ds="http://schemas.openxmlformats.org/officeDocument/2006/customXml" ds:itemID="{970996BF-F36D-4367-911B-D04F4F954D34}">
  <ds:schemaRefs/>
</ds:datastoreItem>
</file>

<file path=customXml/itemProps9.xml><?xml version="1.0" encoding="utf-8"?>
<ds:datastoreItem xmlns:ds="http://schemas.openxmlformats.org/officeDocument/2006/customXml" ds:itemID="{135722E7-FD51-4F22-A902-86293E8DEC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Damilola Olanrewaju</cp:lastModifiedBy>
  <dcterms:created xsi:type="dcterms:W3CDTF">2026-02-23T19:23:03Z</dcterms:created>
  <dcterms:modified xsi:type="dcterms:W3CDTF">2026-06-10T22:45:33Z</dcterms:modified>
</cp:coreProperties>
</file>